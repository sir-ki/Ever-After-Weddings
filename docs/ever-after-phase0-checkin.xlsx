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est List" sheetId="1" state="visible" r:id="rId3"/>
    <sheet name="Live Count" sheetId="2" state="visible" r:id="rId4"/>
    <sheet name="Attendee Sheet" sheetId="3" state="visible" r:id="rId5"/>
    <sheet name="Run of Show" sheetId="4" state="visible" r:id="rId6"/>
    <sheet name="Phase 0 Log" sheetId="5" state="visible" r:id="rId7"/>
  </sheets>
  <definedNames>
    <definedName function="false" hidden="true" localSheetId="0" name="_xlnm._FilterDatabase" vbProcedure="false">'Guest List'!$A$11:$K$51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<sst xmlns="http://schemas.openxmlformats.org/spreadsheetml/2006/main" count="363" uniqueCount="205">
  <si>
    <t xml:space="preserve">EVER AFTER — Guest List &amp; Day-Of Check-In</t>
  </si>
  <si>
    <t xml:space="preserve">Sample event: Maria &amp; Jon  ·  14 Feb 2027  ·  Casa Almendra, Tagaytay</t>
  </si>
  <si>
    <t xml:space="preserve">HOW TO USE</t>
  </si>
  <si>
    <t xml:space="preserve">· Yellow cells are the ones you fill in. Everything else is a formula — leave it alone.</t>
  </si>
  <si>
    <t xml:space="preserve">· Before the day: fill Name, Side, Group, Contact, RSVP, Table, Seat.</t>
  </si>
  <si>
    <t xml:space="preserve">· On the day: each checkpoint marshal marks YES in their own column as guests pass.</t>
  </si>
  <si>
    <t xml:space="preserve">· Set RSVP to Accepted / Declined / No reply. Declined guests drop off the Attendee Sheet automatically.</t>
  </si>
  <si>
    <t xml:space="preserve">· Print the Attendee Sheet tab as your paper backup for each checkpoint.</t>
  </si>
  <si>
    <t xml:space="preserve">Guest Name</t>
  </si>
  <si>
    <t xml:space="preserve">Side</t>
  </si>
  <si>
    <t xml:space="preserve">Group</t>
  </si>
  <si>
    <t xml:space="preserve">Contact</t>
  </si>
  <si>
    <t xml:space="preserve">RSVP</t>
  </si>
  <si>
    <t xml:space="preserve">Table</t>
  </si>
  <si>
    <t xml:space="preserve">Seat</t>
  </si>
  <si>
    <t xml:space="preserve">1. Arrival</t>
  </si>
  <si>
    <t xml:space="preserve">2. Gift Table</t>
  </si>
  <si>
    <t xml:space="preserve">3. Giveaways</t>
  </si>
  <si>
    <t xml:space="preserve">Notes</t>
  </si>
  <si>
    <t xml:space="preserve">Ana Reyes</t>
  </si>
  <si>
    <t xml:space="preserve">Bride</t>
  </si>
  <si>
    <t xml:space="preserve">Family</t>
  </si>
  <si>
    <t xml:space="preserve">0917 555 0101</t>
  </si>
  <si>
    <t xml:space="preserve">Accepted</t>
  </si>
  <si>
    <t xml:space="preserve">YES</t>
  </si>
  <si>
    <t xml:space="preserve">Ramon Reyes</t>
  </si>
  <si>
    <t xml:space="preserve">0917 555 0102</t>
  </si>
  <si>
    <t xml:space="preserve">Carmela Reyes</t>
  </si>
  <si>
    <t xml:space="preserve">0917 555 0103</t>
  </si>
  <si>
    <t xml:space="preserve">Vegetarian</t>
  </si>
  <si>
    <t xml:space="preserve">Tito Boy Santos</t>
  </si>
  <si>
    <t xml:space="preserve">0917 555 0104</t>
  </si>
  <si>
    <t xml:space="preserve">Needs aisle seat</t>
  </si>
  <si>
    <t xml:space="preserve">Grace Villanueva</t>
  </si>
  <si>
    <t xml:space="preserve">Ninang</t>
  </si>
  <si>
    <t xml:space="preserve">0917 555 0105</t>
  </si>
  <si>
    <t xml:space="preserve">Principal sponsor</t>
  </si>
  <si>
    <t xml:space="preserve">Eduardo Cruz</t>
  </si>
  <si>
    <t xml:space="preserve">Groom</t>
  </si>
  <si>
    <t xml:space="preserve">Ninong</t>
  </si>
  <si>
    <t xml:space="preserve">0917 555 0106</t>
  </si>
  <si>
    <t xml:space="preserve">Lorna Cruz</t>
  </si>
  <si>
    <t xml:space="preserve">0917 555 0107</t>
  </si>
  <si>
    <t xml:space="preserve">Miguel Cruz</t>
  </si>
  <si>
    <t xml:space="preserve">0917 555 0108</t>
  </si>
  <si>
    <t xml:space="preserve">Patricia Lim</t>
  </si>
  <si>
    <t xml:space="preserve">Bridesmaid</t>
  </si>
  <si>
    <t xml:space="preserve">0917 555 0109</t>
  </si>
  <si>
    <t xml:space="preserve">Entourage</t>
  </si>
  <si>
    <t xml:space="preserve">Katrina Uy</t>
  </si>
  <si>
    <t xml:space="preserve">0917 555 0110</t>
  </si>
  <si>
    <t xml:space="preserve">Joanne Tan</t>
  </si>
  <si>
    <t xml:space="preserve">0917 555 0111</t>
  </si>
  <si>
    <t xml:space="preserve">Paolo Mendoza</t>
  </si>
  <si>
    <t xml:space="preserve">Groomsman</t>
  </si>
  <si>
    <t xml:space="preserve">0917 555 0112</t>
  </si>
  <si>
    <t xml:space="preserve">Rafael Ocampo</t>
  </si>
  <si>
    <t xml:space="preserve">0917 555 0113</t>
  </si>
  <si>
    <t xml:space="preserve">Dennis Yap</t>
  </si>
  <si>
    <t xml:space="preserve">0917 555 0114</t>
  </si>
  <si>
    <t xml:space="preserve">Sofia Bautista</t>
  </si>
  <si>
    <t xml:space="preserve">College</t>
  </si>
  <si>
    <t xml:space="preserve">0917 555 0115</t>
  </si>
  <si>
    <t xml:space="preserve">+1 confirmed</t>
  </si>
  <si>
    <t xml:space="preserve">Mark Bautista</t>
  </si>
  <si>
    <t xml:space="preserve">0917 555 0116</t>
  </si>
  <si>
    <t xml:space="preserve">Plus one of Sofia</t>
  </si>
  <si>
    <t xml:space="preserve">Trina Sarmiento</t>
  </si>
  <si>
    <t xml:space="preserve">0917 555 0117</t>
  </si>
  <si>
    <t xml:space="preserve">Jerome Padilla</t>
  </si>
  <si>
    <t xml:space="preserve">0917 555 0118</t>
  </si>
  <si>
    <t xml:space="preserve">No reply</t>
  </si>
  <si>
    <t xml:space="preserve">Follow up by 20 Jan</t>
  </si>
  <si>
    <t xml:space="preserve">Bea Fernandez</t>
  </si>
  <si>
    <t xml:space="preserve">0917 555 0119</t>
  </si>
  <si>
    <t xml:space="preserve">Declined</t>
  </si>
  <si>
    <t xml:space="preserve">Abroad that week</t>
  </si>
  <si>
    <t xml:space="preserve">Nico Aquino</t>
  </si>
  <si>
    <t xml:space="preserve">Work</t>
  </si>
  <si>
    <t xml:space="preserve">0917 555 0120</t>
  </si>
  <si>
    <t xml:space="preserve">Hannah Dela Cruz</t>
  </si>
  <si>
    <t xml:space="preserve">0917 555 0121</t>
  </si>
  <si>
    <t xml:space="preserve">Christian Bello</t>
  </si>
  <si>
    <t xml:space="preserve">0917 555 0122</t>
  </si>
  <si>
    <t xml:space="preserve">Arriving late</t>
  </si>
  <si>
    <t xml:space="preserve">Angela Navarro</t>
  </si>
  <si>
    <t xml:space="preserve">0917 555 0123</t>
  </si>
  <si>
    <t xml:space="preserve">Ruel Domingo</t>
  </si>
  <si>
    <t xml:space="preserve">0917 555 0124</t>
  </si>
  <si>
    <t xml:space="preserve">Melissa Ang</t>
  </si>
  <si>
    <t xml:space="preserve">0917 555 0125</t>
  </si>
  <si>
    <t xml:space="preserve">Due date same month</t>
  </si>
  <si>
    <t xml:space="preserve">Fr. Antonio Reyes</t>
  </si>
  <si>
    <t xml:space="preserve">Both</t>
  </si>
  <si>
    <t xml:space="preserve">Officiant</t>
  </si>
  <si>
    <t xml:space="preserve">0917 555 0126</t>
  </si>
  <si>
    <t xml:space="preserve">Officiant — no table</t>
  </si>
  <si>
    <t xml:space="preserve">Liza Gomez</t>
  </si>
  <si>
    <t xml:space="preserve">Family Friend</t>
  </si>
  <si>
    <t xml:space="preserve">0917 555 0127</t>
  </si>
  <si>
    <t xml:space="preserve">Arturo Gomez</t>
  </si>
  <si>
    <t xml:space="preserve">0917 555 0128</t>
  </si>
  <si>
    <t xml:space="preserve">Cielo Ramos</t>
  </si>
  <si>
    <t xml:space="preserve">0917 555 0129</t>
  </si>
  <si>
    <t xml:space="preserve">No-show on the day</t>
  </si>
  <si>
    <t xml:space="preserve">Benjie Salazar</t>
  </si>
  <si>
    <t xml:space="preserve">0917 555 0130</t>
  </si>
  <si>
    <t xml:space="preserve">Live Count</t>
  </si>
  <si>
    <t xml:space="preserve">Updates automatically from the Guest List tab. Keep this open on the coordinator's phone.</t>
  </si>
  <si>
    <t xml:space="preserve">Invited (rows filled)</t>
  </si>
  <si>
    <t xml:space="preserve">Arrived (checkpoint 1)</t>
  </si>
  <si>
    <t xml:space="preserve">Gift table (checkpoint 2)</t>
  </si>
  <si>
    <t xml:space="preserve">Giveaways (checkpoint 3)</t>
  </si>
  <si>
    <t xml:space="preserve">Accepted but not arrived</t>
  </si>
  <si>
    <t xml:space="preserve">Arrival rate</t>
  </si>
  <si>
    <t xml:space="preserve">Giveaway pickup rate</t>
  </si>
  <si>
    <t xml:space="preserve">Note: counts read rows 12–51 of the Guest List tab. Extend these ranges if you add more rows.</t>
  </si>
  <si>
    <t xml:space="preserve">Attendee Sheet — Print This</t>
  </si>
  <si>
    <t xml:space="preserve">Paper backup for each checkpoint. Blank rows are declined or unfilled guests — hide or filter them before printing.</t>
  </si>
  <si>
    <t xml:space="preserve">2. Gift</t>
  </si>
  <si>
    <t xml:space="preserve">3. Giveaway</t>
  </si>
  <si>
    <t xml:space="preserve">Run of Show — 14 Feb 2027</t>
  </si>
  <si>
    <t xml:space="preserve">Sample timeline. This is what guests see on the Day-Of Hub, and what your marshals work from.</t>
  </si>
  <si>
    <t xml:space="preserve">Time</t>
  </si>
  <si>
    <t xml:space="preserve">Segment</t>
  </si>
  <si>
    <t xml:space="preserve">Location</t>
  </si>
  <si>
    <t xml:space="preserve">Owner</t>
  </si>
  <si>
    <t xml:space="preserve">1:00 PM</t>
  </si>
  <si>
    <t xml:space="preserve">Supplier call time &amp; setup</t>
  </si>
  <si>
    <t xml:space="preserve">Casa Almendra</t>
  </si>
  <si>
    <t xml:space="preserve">Ever After coordinator</t>
  </si>
  <si>
    <t xml:space="preserve">Confirm florals, sound, seating</t>
  </si>
  <si>
    <t xml:space="preserve">2:00 PM</t>
  </si>
  <si>
    <t xml:space="preserve">Checkpoint marshals briefed</t>
  </si>
  <si>
    <t xml:space="preserve">Reception hall</t>
  </si>
  <si>
    <t xml:space="preserve">Hand out printed attendee sheets</t>
  </si>
  <si>
    <t xml:space="preserve">2:30 PM</t>
  </si>
  <si>
    <t xml:space="preserve">Guest arrival / Checkpoint 1</t>
  </si>
  <si>
    <t xml:space="preserve">Main entrance</t>
  </si>
  <si>
    <t xml:space="preserve">Marshal A</t>
  </si>
  <si>
    <t xml:space="preserve">Mark Arrival column as guests enter</t>
  </si>
  <si>
    <t xml:space="preserve">3:00 PM</t>
  </si>
  <si>
    <t xml:space="preserve">Ceremony begins</t>
  </si>
  <si>
    <t xml:space="preserve">Garden chapel</t>
  </si>
  <si>
    <t xml:space="preserve">Doors close 3:05 PM</t>
  </si>
  <si>
    <t xml:space="preserve">4:00 PM</t>
  </si>
  <si>
    <t xml:space="preserve">Recessional &amp; photos</t>
  </si>
  <si>
    <t xml:space="preserve">Garden lawn</t>
  </si>
  <si>
    <t xml:space="preserve">Photographer</t>
  </si>
  <si>
    <t xml:space="preserve">Entourage stays back</t>
  </si>
  <si>
    <t xml:space="preserve">4:30 PM</t>
  </si>
  <si>
    <t xml:space="preserve">Cocktails / Checkpoint 2</t>
  </si>
  <si>
    <t xml:space="preserve">Terrace</t>
  </si>
  <si>
    <t xml:space="preserve">Marshal B</t>
  </si>
  <si>
    <t xml:space="preserve">Gift table logging</t>
  </si>
  <si>
    <t xml:space="preserve">5:30 PM</t>
  </si>
  <si>
    <t xml:space="preserve">Reception &amp; dinner</t>
  </si>
  <si>
    <t xml:space="preserve">Host / emcee</t>
  </si>
  <si>
    <t xml:space="preserve">Guests seated per table plan</t>
  </si>
  <si>
    <t xml:space="preserve">6:30 PM</t>
  </si>
  <si>
    <t xml:space="preserve">Programme &amp; speeches</t>
  </si>
  <si>
    <t xml:space="preserve">Sponsors, then couple's message</t>
  </si>
  <si>
    <t xml:space="preserve">7:30 PM</t>
  </si>
  <si>
    <t xml:space="preserve">First dance &amp; open floor</t>
  </si>
  <si>
    <t xml:space="preserve">DJ</t>
  </si>
  <si>
    <t xml:space="preserve">8:30 PM</t>
  </si>
  <si>
    <t xml:space="preserve">Giveaways / Checkpoint 3</t>
  </si>
  <si>
    <t xml:space="preserve">Exit foyer</t>
  </si>
  <si>
    <t xml:space="preserve">Marshal C</t>
  </si>
  <si>
    <t xml:space="preserve">Mark Giveaway column on release</t>
  </si>
  <si>
    <t xml:space="preserve">9:00 PM</t>
  </si>
  <si>
    <t xml:space="preserve">Send-off</t>
  </si>
  <si>
    <t xml:space="preserve">Driveway</t>
  </si>
  <si>
    <t xml:space="preserve">Sparkler line-up</t>
  </si>
  <si>
    <t xml:space="preserve">9:30 PM</t>
  </si>
  <si>
    <t xml:space="preserve">Teardown &amp; supplier settle</t>
  </si>
  <si>
    <t xml:space="preserve">Return rentals, collect gifts</t>
  </si>
  <si>
    <t xml:space="preserve">Phase 0 Learning Log</t>
  </si>
  <si>
    <t xml:space="preserve">The real point of the manual run. Fill this in during and after the event — it decides what you build first.</t>
  </si>
  <si>
    <t xml:space="preserve">Task</t>
  </si>
  <si>
    <t xml:space="preserve">Who did it</t>
  </si>
  <si>
    <t xml:space="preserve">Time spent (mins)</t>
  </si>
  <si>
    <t xml:space="preserve">Painful? (1-5)</t>
  </si>
  <si>
    <t xml:space="preserve">What went wrong / what to automate</t>
  </si>
  <si>
    <t xml:space="preserve">Building the wedding website</t>
  </si>
  <si>
    <t xml:space="preserve">Writing &amp; sending invitations</t>
  </si>
  <si>
    <t xml:space="preserve">Chasing RSVPs / follow-ups</t>
  </si>
  <si>
    <t xml:space="preserve">Updating the guest list from replies</t>
  </si>
  <si>
    <t xml:space="preserve">Assigning tables &amp; seats</t>
  </si>
  <si>
    <t xml:space="preserve">Producing the day-of hub page</t>
  </si>
  <si>
    <t xml:space="preserve">Briefing checkpoint marshals</t>
  </si>
  <si>
    <t xml:space="preserve">Checkpoint 1 — arrival</t>
  </si>
  <si>
    <t xml:space="preserve">Checkpoint 2 — gift table</t>
  </si>
  <si>
    <t xml:space="preserve">Checkpoint 3 — giveaways</t>
  </si>
  <si>
    <t xml:space="preserve">Reconciling counts after the event</t>
  </si>
  <si>
    <t xml:space="preserve">Collecting photos/videos afterwards</t>
  </si>
  <si>
    <t xml:space="preserve">Coordinating suppliers</t>
  </si>
  <si>
    <t xml:space="preserve">Other:</t>
  </si>
  <si>
    <t xml:space="preserve">AFTER THE EVENT — answer these</t>
  </si>
  <si>
    <t xml:space="preserve">· What did the couple ask for that you hadn't planned for?</t>
  </si>
  <si>
    <t xml:space="preserve">· Which single task ate the most time?</t>
  </si>
  <si>
    <t xml:space="preserve">· What would you refuse to do manually for a second wedding?</t>
  </si>
  <si>
    <t xml:space="preserve">· What did guests find confusing?</t>
  </si>
  <si>
    <t xml:space="preserve">· What would you have charged, knowing what you now know?</t>
  </si>
  <si>
    <t xml:space="preserve">· How many vendors agreed to be listed, out of how many asked?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</si>
</sst>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3735"/>
      <name val="Arial"/>
      <family val="0"/>
      <charset val="1"/>
    </font>
    <font>
      <i val="true"/>
      <sz val="10"/>
      <color rgb="FF7D5D5B"/>
      <name val="Arial"/>
      <family val="0"/>
      <charset val="1"/>
    </font>
    <font>
      <b val="true"/>
      <sz val="10"/>
      <color rgb="FF4A3735"/>
      <name val="Arial"/>
      <family val="0"/>
      <charset val="1"/>
    </font>
    <font>
      <sz val="9"/>
      <color rgb="FF5A4A4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4A3735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D5D5B"/>
      <name val="Arial"/>
      <family val="0"/>
      <charset val="1"/>
    </font>
    <font>
      <sz val="10"/>
      <color rgb="FF5A4A4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A3735"/>
        <bgColor rgb="FF5A4A48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A3735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D5D5B"/>
      <rgbColor rgb="FF969696"/>
      <rgbColor rgb="FF003366"/>
      <rgbColor rgb="FF339966"/>
      <rgbColor rgb="FF003300"/>
      <rgbColor rgb="FF5A4A48"/>
      <rgbColor rgb="FF993300"/>
      <rgbColor rgb="FF993366"/>
      <rgbColor rgb="FF333399"/>
      <rgbColor rgb="FF4A37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27.75" hidden="false" customHeight="true" outlineLevel="0" collapsed="false">
      <c r="A11" s="5" t="s">
        <v>8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5" t="s">
        <v>14</v>
      </c>
      <c r="H11" s="5" t="s">
        <v>15</v>
      </c>
      <c r="I11" s="5" t="s">
        <v>16</v>
      </c>
      <c r="J11" s="5" t="s">
        <v>17</v>
      </c>
      <c r="K11" s="5" t="s">
        <v>18</v>
      </c>
    </row>
    <row r="12" customFormat="false" ht="15" hidden="false" customHeight="false" outlineLevel="0" collapsed="false">
      <c r="A12" s="6" t="s">
        <v>19</v>
      </c>
      <c r="B12" s="7" t="s">
        <v>20</v>
      </c>
      <c r="C12" s="6" t="s">
        <v>21</v>
      </c>
      <c r="D12" s="6" t="s">
        <v>22</v>
      </c>
      <c r="E12" s="7" t="s">
        <v>23</v>
      </c>
      <c r="F12" s="7" t="n">
        <v>1</v>
      </c>
      <c r="G12" s="7" t="n">
        <v>1</v>
      </c>
      <c r="H12" s="7" t="s">
        <v>24</v>
      </c>
      <c r="I12" s="7" t="s">
        <v>24</v>
      </c>
      <c r="J12" s="7" t="s">
        <v>24</v>
      </c>
      <c r="K12" s="8"/>
    </row>
    <row r="13" customFormat="false" ht="15" hidden="false" customHeight="false" outlineLevel="0" collapsed="false">
      <c r="A13" s="6" t="s">
        <v>25</v>
      </c>
      <c r="B13" s="7" t="s">
        <v>20</v>
      </c>
      <c r="C13" s="6" t="s">
        <v>21</v>
      </c>
      <c r="D13" s="6" t="s">
        <v>26</v>
      </c>
      <c r="E13" s="7" t="s">
        <v>23</v>
      </c>
      <c r="F13" s="7" t="n">
        <v>1</v>
      </c>
      <c r="G13" s="7" t="n">
        <v>2</v>
      </c>
      <c r="H13" s="7" t="s">
        <v>24</v>
      </c>
      <c r="I13" s="7" t="s">
        <v>24</v>
      </c>
      <c r="J13" s="7" t="s">
        <v>24</v>
      </c>
      <c r="K13" s="8"/>
    </row>
    <row r="14" customFormat="false" ht="15" hidden="false" customHeight="false" outlineLevel="0" collapsed="false">
      <c r="A14" s="6" t="s">
        <v>27</v>
      </c>
      <c r="B14" s="7" t="s">
        <v>20</v>
      </c>
      <c r="C14" s="6" t="s">
        <v>21</v>
      </c>
      <c r="D14" s="6" t="s">
        <v>28</v>
      </c>
      <c r="E14" s="7" t="s">
        <v>23</v>
      </c>
      <c r="F14" s="7" t="n">
        <v>1</v>
      </c>
      <c r="G14" s="7" t="n">
        <v>3</v>
      </c>
      <c r="H14" s="7" t="s">
        <v>24</v>
      </c>
      <c r="I14" s="7" t="s">
        <v>24</v>
      </c>
      <c r="J14" s="7"/>
      <c r="K14" s="8" t="s">
        <v>29</v>
      </c>
    </row>
    <row r="15" customFormat="false" ht="15" hidden="false" customHeight="false" outlineLevel="0" collapsed="false">
      <c r="A15" s="6" t="s">
        <v>30</v>
      </c>
      <c r="B15" s="7" t="s">
        <v>20</v>
      </c>
      <c r="C15" s="6" t="s">
        <v>21</v>
      </c>
      <c r="D15" s="6" t="s">
        <v>31</v>
      </c>
      <c r="E15" s="7" t="s">
        <v>23</v>
      </c>
      <c r="F15" s="7" t="n">
        <v>1</v>
      </c>
      <c r="G15" s="7" t="n">
        <v>4</v>
      </c>
      <c r="H15" s="7" t="s">
        <v>24</v>
      </c>
      <c r="I15" s="7"/>
      <c r="J15" s="7"/>
      <c r="K15" s="8" t="s">
        <v>32</v>
      </c>
    </row>
    <row r="16" customFormat="false" ht="15" hidden="false" customHeight="false" outlineLevel="0" collapsed="false">
      <c r="A16" s="6" t="s">
        <v>33</v>
      </c>
      <c r="B16" s="7" t="s">
        <v>20</v>
      </c>
      <c r="C16" s="6" t="s">
        <v>34</v>
      </c>
      <c r="D16" s="6" t="s">
        <v>35</v>
      </c>
      <c r="E16" s="7" t="s">
        <v>23</v>
      </c>
      <c r="F16" s="7" t="n">
        <v>2</v>
      </c>
      <c r="G16" s="7" t="n">
        <v>1</v>
      </c>
      <c r="H16" s="7" t="s">
        <v>24</v>
      </c>
      <c r="I16" s="7" t="s">
        <v>24</v>
      </c>
      <c r="J16" s="7" t="s">
        <v>24</v>
      </c>
      <c r="K16" s="8" t="s">
        <v>36</v>
      </c>
    </row>
    <row r="17" customFormat="false" ht="15" hidden="false" customHeight="false" outlineLevel="0" collapsed="false">
      <c r="A17" s="6" t="s">
        <v>37</v>
      </c>
      <c r="B17" s="7" t="s">
        <v>38</v>
      </c>
      <c r="C17" s="6" t="s">
        <v>39</v>
      </c>
      <c r="D17" s="6" t="s">
        <v>40</v>
      </c>
      <c r="E17" s="7" t="s">
        <v>23</v>
      </c>
      <c r="F17" s="7" t="n">
        <v>2</v>
      </c>
      <c r="G17" s="7" t="n">
        <v>2</v>
      </c>
      <c r="H17" s="7" t="s">
        <v>24</v>
      </c>
      <c r="I17" s="7" t="s">
        <v>24</v>
      </c>
      <c r="J17" s="7"/>
      <c r="K17" s="8" t="s">
        <v>36</v>
      </c>
    </row>
    <row r="18" customFormat="false" ht="15" hidden="false" customHeight="false" outlineLevel="0" collapsed="false">
      <c r="A18" s="6" t="s">
        <v>41</v>
      </c>
      <c r="B18" s="7" t="s">
        <v>38</v>
      </c>
      <c r="C18" s="6" t="s">
        <v>21</v>
      </c>
      <c r="D18" s="6" t="s">
        <v>42</v>
      </c>
      <c r="E18" s="7" t="s">
        <v>23</v>
      </c>
      <c r="F18" s="7" t="n">
        <v>2</v>
      </c>
      <c r="G18" s="7" t="n">
        <v>3</v>
      </c>
      <c r="H18" s="7" t="s">
        <v>24</v>
      </c>
      <c r="I18" s="7" t="s">
        <v>24</v>
      </c>
      <c r="J18" s="7" t="s">
        <v>24</v>
      </c>
      <c r="K18" s="8"/>
    </row>
    <row r="19" customFormat="false" ht="15" hidden="false" customHeight="false" outlineLevel="0" collapsed="false">
      <c r="A19" s="6" t="s">
        <v>43</v>
      </c>
      <c r="B19" s="7" t="s">
        <v>38</v>
      </c>
      <c r="C19" s="6" t="s">
        <v>21</v>
      </c>
      <c r="D19" s="6" t="s">
        <v>44</v>
      </c>
      <c r="E19" s="7" t="s">
        <v>23</v>
      </c>
      <c r="F19" s="7" t="n">
        <v>2</v>
      </c>
      <c r="G19" s="7" t="n">
        <v>4</v>
      </c>
      <c r="H19" s="7" t="s">
        <v>24</v>
      </c>
      <c r="I19" s="7"/>
      <c r="J19" s="7"/>
      <c r="K19" s="8"/>
    </row>
    <row r="20" customFormat="false" ht="15" hidden="false" customHeight="false" outlineLevel="0" collapsed="false">
      <c r="A20" s="6" t="s">
        <v>45</v>
      </c>
      <c r="B20" s="7" t="s">
        <v>20</v>
      </c>
      <c r="C20" s="6" t="s">
        <v>46</v>
      </c>
      <c r="D20" s="6" t="s">
        <v>47</v>
      </c>
      <c r="E20" s="7" t="s">
        <v>23</v>
      </c>
      <c r="F20" s="7" t="n">
        <v>3</v>
      </c>
      <c r="G20" s="7" t="n">
        <v>1</v>
      </c>
      <c r="H20" s="7" t="s">
        <v>24</v>
      </c>
      <c r="I20" s="7" t="s">
        <v>24</v>
      </c>
      <c r="J20" s="7" t="s">
        <v>24</v>
      </c>
      <c r="K20" s="8" t="s">
        <v>48</v>
      </c>
    </row>
    <row r="21" customFormat="false" ht="15" hidden="false" customHeight="false" outlineLevel="0" collapsed="false">
      <c r="A21" s="6" t="s">
        <v>49</v>
      </c>
      <c r="B21" s="7" t="s">
        <v>20</v>
      </c>
      <c r="C21" s="6" t="s">
        <v>46</v>
      </c>
      <c r="D21" s="6" t="s">
        <v>50</v>
      </c>
      <c r="E21" s="7" t="s">
        <v>23</v>
      </c>
      <c r="F21" s="7" t="n">
        <v>3</v>
      </c>
      <c r="G21" s="7" t="n">
        <v>2</v>
      </c>
      <c r="H21" s="7" t="s">
        <v>24</v>
      </c>
      <c r="I21" s="7" t="s">
        <v>24</v>
      </c>
      <c r="J21" s="7" t="s">
        <v>24</v>
      </c>
      <c r="K21" s="8" t="s">
        <v>48</v>
      </c>
    </row>
    <row r="22" customFormat="false" ht="15" hidden="false" customHeight="false" outlineLevel="0" collapsed="false">
      <c r="A22" s="6" t="s">
        <v>51</v>
      </c>
      <c r="B22" s="7" t="s">
        <v>20</v>
      </c>
      <c r="C22" s="6" t="s">
        <v>46</v>
      </c>
      <c r="D22" s="6" t="s">
        <v>52</v>
      </c>
      <c r="E22" s="7" t="s">
        <v>23</v>
      </c>
      <c r="F22" s="7" t="n">
        <v>3</v>
      </c>
      <c r="G22" s="7" t="n">
        <v>3</v>
      </c>
      <c r="H22" s="7" t="s">
        <v>24</v>
      </c>
      <c r="I22" s="7"/>
      <c r="J22" s="7"/>
      <c r="K22" s="8" t="s">
        <v>48</v>
      </c>
    </row>
    <row r="23" customFormat="false" ht="15" hidden="false" customHeight="false" outlineLevel="0" collapsed="false">
      <c r="A23" s="6" t="s">
        <v>53</v>
      </c>
      <c r="B23" s="7" t="s">
        <v>38</v>
      </c>
      <c r="C23" s="6" t="s">
        <v>54</v>
      </c>
      <c r="D23" s="6" t="s">
        <v>55</v>
      </c>
      <c r="E23" s="7" t="s">
        <v>23</v>
      </c>
      <c r="F23" s="7" t="n">
        <v>3</v>
      </c>
      <c r="G23" s="7" t="n">
        <v>4</v>
      </c>
      <c r="H23" s="7" t="s">
        <v>24</v>
      </c>
      <c r="I23" s="7" t="s">
        <v>24</v>
      </c>
      <c r="J23" s="7" t="s">
        <v>24</v>
      </c>
      <c r="K23" s="8" t="s">
        <v>48</v>
      </c>
    </row>
    <row r="24" customFormat="false" ht="15" hidden="false" customHeight="false" outlineLevel="0" collapsed="false">
      <c r="A24" s="6" t="s">
        <v>56</v>
      </c>
      <c r="B24" s="7" t="s">
        <v>38</v>
      </c>
      <c r="C24" s="6" t="s">
        <v>54</v>
      </c>
      <c r="D24" s="6" t="s">
        <v>57</v>
      </c>
      <c r="E24" s="7" t="s">
        <v>23</v>
      </c>
      <c r="F24" s="7" t="n">
        <v>3</v>
      </c>
      <c r="G24" s="7" t="n">
        <v>5</v>
      </c>
      <c r="H24" s="7" t="s">
        <v>24</v>
      </c>
      <c r="I24" s="7" t="s">
        <v>24</v>
      </c>
      <c r="J24" s="7"/>
      <c r="K24" s="8" t="s">
        <v>48</v>
      </c>
    </row>
    <row r="25" customFormat="false" ht="15" hidden="false" customHeight="false" outlineLevel="0" collapsed="false">
      <c r="A25" s="6" t="s">
        <v>58</v>
      </c>
      <c r="B25" s="7" t="s">
        <v>38</v>
      </c>
      <c r="C25" s="6" t="s">
        <v>54</v>
      </c>
      <c r="D25" s="6" t="s">
        <v>59</v>
      </c>
      <c r="E25" s="7" t="s">
        <v>23</v>
      </c>
      <c r="F25" s="7" t="n">
        <v>3</v>
      </c>
      <c r="G25" s="7" t="n">
        <v>6</v>
      </c>
      <c r="H25" s="7" t="s">
        <v>24</v>
      </c>
      <c r="I25" s="7" t="s">
        <v>24</v>
      </c>
      <c r="J25" s="7" t="s">
        <v>24</v>
      </c>
      <c r="K25" s="8" t="s">
        <v>48</v>
      </c>
    </row>
    <row r="26" customFormat="false" ht="15" hidden="false" customHeight="false" outlineLevel="0" collapsed="false">
      <c r="A26" s="6" t="s">
        <v>60</v>
      </c>
      <c r="B26" s="7" t="s">
        <v>20</v>
      </c>
      <c r="C26" s="6" t="s">
        <v>61</v>
      </c>
      <c r="D26" s="6" t="s">
        <v>62</v>
      </c>
      <c r="E26" s="7" t="s">
        <v>23</v>
      </c>
      <c r="F26" s="7" t="n">
        <v>4</v>
      </c>
      <c r="G26" s="7" t="n">
        <v>1</v>
      </c>
      <c r="H26" s="7" t="s">
        <v>24</v>
      </c>
      <c r="I26" s="7" t="s">
        <v>24</v>
      </c>
      <c r="J26" s="7" t="s">
        <v>24</v>
      </c>
      <c r="K26" s="8" t="s">
        <v>63</v>
      </c>
    </row>
    <row r="27" customFormat="false" ht="15" hidden="false" customHeight="false" outlineLevel="0" collapsed="false">
      <c r="A27" s="6" t="s">
        <v>64</v>
      </c>
      <c r="B27" s="7" t="s">
        <v>20</v>
      </c>
      <c r="C27" s="6" t="s">
        <v>61</v>
      </c>
      <c r="D27" s="6" t="s">
        <v>65</v>
      </c>
      <c r="E27" s="7" t="s">
        <v>23</v>
      </c>
      <c r="F27" s="7" t="n">
        <v>4</v>
      </c>
      <c r="G27" s="7" t="n">
        <v>2</v>
      </c>
      <c r="H27" s="7" t="s">
        <v>24</v>
      </c>
      <c r="I27" s="7" t="s">
        <v>24</v>
      </c>
      <c r="J27" s="7" t="s">
        <v>24</v>
      </c>
      <c r="K27" s="8" t="s">
        <v>66</v>
      </c>
    </row>
    <row r="28" customFormat="false" ht="15" hidden="false" customHeight="false" outlineLevel="0" collapsed="false">
      <c r="A28" s="6" t="s">
        <v>67</v>
      </c>
      <c r="B28" s="7" t="s">
        <v>20</v>
      </c>
      <c r="C28" s="6" t="s">
        <v>61</v>
      </c>
      <c r="D28" s="6" t="s">
        <v>68</v>
      </c>
      <c r="E28" s="7" t="s">
        <v>23</v>
      </c>
      <c r="F28" s="7" t="n">
        <v>4</v>
      </c>
      <c r="G28" s="7" t="n">
        <v>3</v>
      </c>
      <c r="H28" s="7" t="s">
        <v>24</v>
      </c>
      <c r="I28" s="7"/>
      <c r="J28" s="7"/>
      <c r="K28" s="8"/>
    </row>
    <row r="29" customFormat="false" ht="15" hidden="false" customHeight="false" outlineLevel="0" collapsed="false">
      <c r="A29" s="6" t="s">
        <v>69</v>
      </c>
      <c r="B29" s="7" t="s">
        <v>20</v>
      </c>
      <c r="C29" s="6" t="s">
        <v>61</v>
      </c>
      <c r="D29" s="6" t="s">
        <v>70</v>
      </c>
      <c r="E29" s="7" t="s">
        <v>71</v>
      </c>
      <c r="F29" s="7"/>
      <c r="G29" s="7"/>
      <c r="H29" s="7"/>
      <c r="I29" s="7"/>
      <c r="J29" s="7"/>
      <c r="K29" s="8" t="s">
        <v>72</v>
      </c>
    </row>
    <row r="30" customFormat="false" ht="15" hidden="false" customHeight="false" outlineLevel="0" collapsed="false">
      <c r="A30" s="9" t="s">
        <v>73</v>
      </c>
      <c r="B30" s="10" t="s">
        <v>20</v>
      </c>
      <c r="C30" s="9" t="s">
        <v>61</v>
      </c>
      <c r="D30" s="9" t="s">
        <v>74</v>
      </c>
      <c r="E30" s="10" t="s">
        <v>75</v>
      </c>
      <c r="F30" s="10"/>
      <c r="G30" s="10"/>
      <c r="H30" s="10"/>
      <c r="I30" s="10"/>
      <c r="J30" s="10"/>
      <c r="K30" s="9" t="s">
        <v>76</v>
      </c>
    </row>
    <row r="31" customFormat="false" ht="15" hidden="false" customHeight="false" outlineLevel="0" collapsed="false">
      <c r="A31" s="6" t="s">
        <v>77</v>
      </c>
      <c r="B31" s="7" t="s">
        <v>38</v>
      </c>
      <c r="C31" s="6" t="s">
        <v>78</v>
      </c>
      <c r="D31" s="6" t="s">
        <v>79</v>
      </c>
      <c r="E31" s="7" t="s">
        <v>23</v>
      </c>
      <c r="F31" s="7" t="n">
        <v>5</v>
      </c>
      <c r="G31" s="7" t="n">
        <v>1</v>
      </c>
      <c r="H31" s="7" t="s">
        <v>24</v>
      </c>
      <c r="I31" s="7" t="s">
        <v>24</v>
      </c>
      <c r="J31" s="7" t="s">
        <v>24</v>
      </c>
      <c r="K31" s="8"/>
    </row>
    <row r="32" customFormat="false" ht="15" hidden="false" customHeight="false" outlineLevel="0" collapsed="false">
      <c r="A32" s="6" t="s">
        <v>80</v>
      </c>
      <c r="B32" s="7" t="s">
        <v>38</v>
      </c>
      <c r="C32" s="6" t="s">
        <v>78</v>
      </c>
      <c r="D32" s="6" t="s">
        <v>81</v>
      </c>
      <c r="E32" s="7" t="s">
        <v>23</v>
      </c>
      <c r="F32" s="7" t="n">
        <v>5</v>
      </c>
      <c r="G32" s="7" t="n">
        <v>2</v>
      </c>
      <c r="H32" s="7" t="s">
        <v>24</v>
      </c>
      <c r="I32" s="7" t="s">
        <v>24</v>
      </c>
      <c r="J32" s="7"/>
      <c r="K32" s="8"/>
    </row>
    <row r="33" customFormat="false" ht="15" hidden="false" customHeight="false" outlineLevel="0" collapsed="false">
      <c r="A33" s="6" t="s">
        <v>82</v>
      </c>
      <c r="B33" s="7" t="s">
        <v>38</v>
      </c>
      <c r="C33" s="6" t="s">
        <v>78</v>
      </c>
      <c r="D33" s="6" t="s">
        <v>83</v>
      </c>
      <c r="E33" s="7" t="s">
        <v>23</v>
      </c>
      <c r="F33" s="7" t="n">
        <v>5</v>
      </c>
      <c r="G33" s="7" t="n">
        <v>3</v>
      </c>
      <c r="H33" s="7" t="s">
        <v>24</v>
      </c>
      <c r="I33" s="7"/>
      <c r="J33" s="7"/>
      <c r="K33" s="8" t="s">
        <v>84</v>
      </c>
    </row>
    <row r="34" customFormat="false" ht="15" hidden="false" customHeight="false" outlineLevel="0" collapsed="false">
      <c r="A34" s="6" t="s">
        <v>85</v>
      </c>
      <c r="B34" s="7" t="s">
        <v>38</v>
      </c>
      <c r="C34" s="6" t="s">
        <v>78</v>
      </c>
      <c r="D34" s="6" t="s">
        <v>86</v>
      </c>
      <c r="E34" s="7" t="s">
        <v>23</v>
      </c>
      <c r="F34" s="7" t="n">
        <v>5</v>
      </c>
      <c r="G34" s="7" t="n">
        <v>4</v>
      </c>
      <c r="H34" s="7" t="s">
        <v>24</v>
      </c>
      <c r="I34" s="7" t="s">
        <v>24</v>
      </c>
      <c r="J34" s="7" t="s">
        <v>24</v>
      </c>
      <c r="K34" s="8"/>
    </row>
    <row r="35" customFormat="false" ht="15" hidden="false" customHeight="false" outlineLevel="0" collapsed="false">
      <c r="A35" s="6" t="s">
        <v>87</v>
      </c>
      <c r="B35" s="7" t="s">
        <v>38</v>
      </c>
      <c r="C35" s="6" t="s">
        <v>78</v>
      </c>
      <c r="D35" s="6" t="s">
        <v>88</v>
      </c>
      <c r="E35" s="7" t="s">
        <v>71</v>
      </c>
      <c r="F35" s="7"/>
      <c r="G35" s="7"/>
      <c r="H35" s="7"/>
      <c r="I35" s="7"/>
      <c r="J35" s="7"/>
      <c r="K35" s="8" t="s">
        <v>72</v>
      </c>
    </row>
    <row r="36" customFormat="false" ht="15" hidden="false" customHeight="false" outlineLevel="0" collapsed="false">
      <c r="A36" s="9" t="s">
        <v>89</v>
      </c>
      <c r="B36" s="10" t="s">
        <v>38</v>
      </c>
      <c r="C36" s="9" t="s">
        <v>78</v>
      </c>
      <c r="D36" s="9" t="s">
        <v>90</v>
      </c>
      <c r="E36" s="10" t="s">
        <v>75</v>
      </c>
      <c r="F36" s="10"/>
      <c r="G36" s="10"/>
      <c r="H36" s="10"/>
      <c r="I36" s="10"/>
      <c r="J36" s="10"/>
      <c r="K36" s="9" t="s">
        <v>91</v>
      </c>
    </row>
    <row r="37" customFormat="false" ht="15" hidden="false" customHeight="false" outlineLevel="0" collapsed="false">
      <c r="A37" s="6" t="s">
        <v>92</v>
      </c>
      <c r="B37" s="7" t="s">
        <v>93</v>
      </c>
      <c r="C37" s="6" t="s">
        <v>94</v>
      </c>
      <c r="D37" s="6" t="s">
        <v>95</v>
      </c>
      <c r="E37" s="7" t="s">
        <v>23</v>
      </c>
      <c r="F37" s="7"/>
      <c r="G37" s="7"/>
      <c r="H37" s="7" t="s">
        <v>24</v>
      </c>
      <c r="I37" s="7"/>
      <c r="J37" s="7"/>
      <c r="K37" s="8" t="s">
        <v>96</v>
      </c>
    </row>
    <row r="38" customFormat="false" ht="15" hidden="false" customHeight="false" outlineLevel="0" collapsed="false">
      <c r="A38" s="6" t="s">
        <v>97</v>
      </c>
      <c r="B38" s="7" t="s">
        <v>93</v>
      </c>
      <c r="C38" s="6" t="s">
        <v>98</v>
      </c>
      <c r="D38" s="6" t="s">
        <v>99</v>
      </c>
      <c r="E38" s="7" t="s">
        <v>23</v>
      </c>
      <c r="F38" s="7" t="n">
        <v>6</v>
      </c>
      <c r="G38" s="7" t="n">
        <v>1</v>
      </c>
      <c r="H38" s="7" t="s">
        <v>24</v>
      </c>
      <c r="I38" s="7" t="s">
        <v>24</v>
      </c>
      <c r="J38" s="7" t="s">
        <v>24</v>
      </c>
      <c r="K38" s="8"/>
    </row>
    <row r="39" customFormat="false" ht="15" hidden="false" customHeight="false" outlineLevel="0" collapsed="false">
      <c r="A39" s="6" t="s">
        <v>100</v>
      </c>
      <c r="B39" s="7" t="s">
        <v>93</v>
      </c>
      <c r="C39" s="6" t="s">
        <v>98</v>
      </c>
      <c r="D39" s="6" t="s">
        <v>101</v>
      </c>
      <c r="E39" s="7" t="s">
        <v>23</v>
      </c>
      <c r="F39" s="7" t="n">
        <v>6</v>
      </c>
      <c r="G39" s="7" t="n">
        <v>2</v>
      </c>
      <c r="H39" s="7" t="s">
        <v>24</v>
      </c>
      <c r="I39" s="7" t="s">
        <v>24</v>
      </c>
      <c r="J39" s="7" t="s">
        <v>24</v>
      </c>
      <c r="K39" s="8"/>
    </row>
    <row r="40" customFormat="false" ht="15" hidden="false" customHeight="false" outlineLevel="0" collapsed="false">
      <c r="A40" s="6" t="s">
        <v>102</v>
      </c>
      <c r="B40" s="7" t="s">
        <v>93</v>
      </c>
      <c r="C40" s="6" t="s">
        <v>98</v>
      </c>
      <c r="D40" s="6" t="s">
        <v>103</v>
      </c>
      <c r="E40" s="7" t="s">
        <v>23</v>
      </c>
      <c r="F40" s="7" t="n">
        <v>6</v>
      </c>
      <c r="G40" s="7" t="n">
        <v>3</v>
      </c>
      <c r="H40" s="7"/>
      <c r="I40" s="7"/>
      <c r="J40" s="7"/>
      <c r="K40" s="8" t="s">
        <v>104</v>
      </c>
    </row>
    <row r="41" customFormat="false" ht="15" hidden="false" customHeight="false" outlineLevel="0" collapsed="false">
      <c r="A41" s="6" t="s">
        <v>105</v>
      </c>
      <c r="B41" s="7" t="s">
        <v>93</v>
      </c>
      <c r="C41" s="6" t="s">
        <v>98</v>
      </c>
      <c r="D41" s="6" t="s">
        <v>106</v>
      </c>
      <c r="E41" s="7" t="s">
        <v>23</v>
      </c>
      <c r="F41" s="7" t="n">
        <v>6</v>
      </c>
      <c r="G41" s="7" t="n">
        <v>4</v>
      </c>
      <c r="H41" s="7" t="s">
        <v>24</v>
      </c>
      <c r="I41" s="7" t="s">
        <v>24</v>
      </c>
      <c r="J41" s="7"/>
      <c r="K41" s="8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8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8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8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8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8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8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8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8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8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8"/>
    </row>
  </sheetData>
  <autoFilter ref="A11:K51"/>
  <dataValidations count="3">
    <dataValidation allowBlank="true" errorStyle="stop" operator="between" showDropDown="false" showErrorMessage="false" showInputMessage="false" sqref="E12:E51" type="list">
      <formula1>"Accepted,Declined,No reply"</formula1>
      <formula2>0</formula2>
    </dataValidation>
    <dataValidation allowBlank="true" errorStyle="stop" operator="between" showDropDown="false" showErrorMessage="false" showInputMessage="false" sqref="H12:J51" type="list">
      <formula1>"YES"</formula1>
      <formula2>0</formula2>
    </dataValidation>
    <dataValidation allowBlank="true" errorStyle="stop" operator="between" showDropDown="false" showErrorMessage="false" showInputMessage="false" sqref="B12:B51" type="list">
      <formula1>"Bride,Groom,Both"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11" t="s">
        <v>109</v>
      </c>
      <c r="B4" s="12" t="n">
        <f aca="false">COUNTA('Guest List'!$A$12:$A$51)</f>
        <v>30</v>
      </c>
    </row>
    <row r="5" customFormat="false" ht="15" hidden="false" customHeight="false" outlineLevel="0" collapsed="false">
      <c r="A5" s="13" t="s">
        <v>23</v>
      </c>
      <c r="B5" s="12" t="n">
        <f aca="false">COUNTIF('Guest List'!$E$12:$E$51,"Accepted")</f>
        <v>26</v>
      </c>
    </row>
    <row r="6" customFormat="false" ht="15" hidden="false" customHeight="false" outlineLevel="0" collapsed="false">
      <c r="A6" s="13" t="s">
        <v>75</v>
      </c>
      <c r="B6" s="12" t="n">
        <f aca="false">COUNTIF('Guest List'!$E$12:$E$51,"Declined")</f>
        <v>2</v>
      </c>
    </row>
    <row r="7" customFormat="false" ht="15" hidden="false" customHeight="false" outlineLevel="0" collapsed="false">
      <c r="A7" s="13" t="s">
        <v>71</v>
      </c>
      <c r="B7" s="12" t="n">
        <f aca="false">COUNTIF('Guest List'!$E$12:$E$51,"No reply")</f>
        <v>2</v>
      </c>
    </row>
    <row r="9" customFormat="false" ht="15" hidden="false" customHeight="false" outlineLevel="0" collapsed="false">
      <c r="A9" s="13" t="s">
        <v>110</v>
      </c>
      <c r="B9" s="12" t="n">
        <f aca="false">COUNTIF('Guest List'!$H$12:$H$51,"YES")</f>
        <v>25</v>
      </c>
    </row>
    <row r="10" customFormat="false" ht="15" hidden="false" customHeight="false" outlineLevel="0" collapsed="false">
      <c r="A10" s="13" t="s">
        <v>111</v>
      </c>
      <c r="B10" s="12" t="n">
        <f aca="false">COUNTIF('Guest List'!$I$12:$I$51,"YES")</f>
        <v>19</v>
      </c>
    </row>
    <row r="11" customFormat="false" ht="15" hidden="false" customHeight="false" outlineLevel="0" collapsed="false">
      <c r="A11" s="13" t="s">
        <v>112</v>
      </c>
      <c r="B11" s="12" t="n">
        <f aca="false">COUNTIF('Guest List'!$J$12:$J$51,"YES")</f>
        <v>14</v>
      </c>
    </row>
    <row r="13" customFormat="false" ht="15" hidden="false" customHeight="false" outlineLevel="0" collapsed="false">
      <c r="A13" s="13" t="s">
        <v>113</v>
      </c>
      <c r="B13" s="12" t="n">
        <f aca="false">COUNTIF('Guest List'!$E$12:$E$51,"Accepted")-COUNTIF('Guest List'!$H$12:$H$51,"YES")</f>
        <v>1</v>
      </c>
    </row>
    <row r="14" customFormat="false" ht="15" hidden="false" customHeight="false" outlineLevel="0" collapsed="false">
      <c r="A14" s="13" t="s">
        <v>114</v>
      </c>
      <c r="B14" s="14" t="n">
        <f aca="false">IFERROR(COUNTIF('Guest List'!$H$12:$H$51,"YES")/COUNTIF('Guest List'!$E$12:$E$51,"Accepted"),0)</f>
        <v>0.961538461538462</v>
      </c>
    </row>
    <row r="15" customFormat="false" ht="15" hidden="false" customHeight="false" outlineLevel="0" collapsed="false">
      <c r="A15" s="13" t="s">
        <v>115</v>
      </c>
      <c r="B15" s="14" t="n">
        <f aca="false">IFERROR(COUNTIF('Guest List'!$J$12:$J$51,"YES")/COUNTIF('Guest List'!$H$12:$H$51,"YES"),0)</f>
        <v>0.56</v>
      </c>
    </row>
    <row r="17" customFormat="false" ht="15" hidden="false" customHeight="false" outlineLevel="0" collapsed="false">
      <c r="A17" s="15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25.5" hidden="false" customHeight="true" outlineLevel="0" collapsed="false">
      <c r="A4" s="5" t="s">
        <v>8</v>
      </c>
      <c r="B4" s="5" t="s">
        <v>13</v>
      </c>
      <c r="C4" s="5" t="s">
        <v>14</v>
      </c>
      <c r="D4" s="5" t="s">
        <v>10</v>
      </c>
      <c r="E4" s="5" t="s">
        <v>15</v>
      </c>
      <c r="F4" s="5" t="s">
        <v>119</v>
      </c>
      <c r="G4" s="5" t="s">
        <v>120</v>
      </c>
    </row>
    <row r="5" customFormat="false" ht="15" hidden="false" customHeight="false" outlineLevel="0" collapsed="false">
      <c r="A5" s="8" t="str">
        <f aca="false">IF('Guest List'!$E$12="Accepted",'Guest List'!$A$12,"")</f>
        <v>Ana Reyes</v>
      </c>
      <c r="B5" s="16" t="n">
        <f aca="false">IF('Guest List'!$E$12="Accepted",'Guest List'!$F$12,"")</f>
        <v>1</v>
      </c>
      <c r="C5" s="16" t="n">
        <f aca="false">IF('Guest List'!$E$12="Accepted",'Guest List'!$G$12,"")</f>
        <v>1</v>
      </c>
      <c r="D5" s="8" t="str">
        <f aca="false">IF('Guest List'!$E$12="Accepted",'Guest List'!$C$12,"")</f>
        <v>Family</v>
      </c>
      <c r="E5" s="16"/>
      <c r="F5" s="16"/>
      <c r="G5" s="16"/>
    </row>
    <row r="6" customFormat="false" ht="15" hidden="false" customHeight="false" outlineLevel="0" collapsed="false">
      <c r="A6" s="8" t="str">
        <f aca="false">IF('Guest List'!$E$13="Accepted",'Guest List'!$A$13,"")</f>
        <v>Ramon Reyes</v>
      </c>
      <c r="B6" s="16" t="n">
        <f aca="false">IF('Guest List'!$E$13="Accepted",'Guest List'!$F$13,"")</f>
        <v>1</v>
      </c>
      <c r="C6" s="16" t="n">
        <f aca="false">IF('Guest List'!$E$13="Accepted",'Guest List'!$G$13,"")</f>
        <v>2</v>
      </c>
      <c r="D6" s="8" t="str">
        <f aca="false">IF('Guest List'!$E$13="Accepted",'Guest List'!$C$13,"")</f>
        <v>Family</v>
      </c>
      <c r="E6" s="16"/>
      <c r="F6" s="16"/>
      <c r="G6" s="16"/>
    </row>
    <row r="7" customFormat="false" ht="15" hidden="false" customHeight="false" outlineLevel="0" collapsed="false">
      <c r="A7" s="8" t="str">
        <f aca="false">IF('Guest List'!$E$14="Accepted",'Guest List'!$A$14,"")</f>
        <v>Carmela Reyes</v>
      </c>
      <c r="B7" s="16" t="n">
        <f aca="false">IF('Guest List'!$E$14="Accepted",'Guest List'!$F$14,"")</f>
        <v>1</v>
      </c>
      <c r="C7" s="16" t="n">
        <f aca="false">IF('Guest List'!$E$14="Accepted",'Guest List'!$G$14,"")</f>
        <v>3</v>
      </c>
      <c r="D7" s="8" t="str">
        <f aca="false">IF('Guest List'!$E$14="Accepted",'Guest List'!$C$14,"")</f>
        <v>Family</v>
      </c>
      <c r="E7" s="16"/>
      <c r="F7" s="16"/>
      <c r="G7" s="16"/>
    </row>
    <row r="8" customFormat="false" ht="15" hidden="false" customHeight="false" outlineLevel="0" collapsed="false">
      <c r="A8" s="8" t="str">
        <f aca="false">IF('Guest List'!$E$15="Accepted",'Guest List'!$A$15,"")</f>
        <v>Tito Boy Santos</v>
      </c>
      <c r="B8" s="16" t="n">
        <f aca="false">IF('Guest List'!$E$15="Accepted",'Guest List'!$F$15,"")</f>
        <v>1</v>
      </c>
      <c r="C8" s="16" t="n">
        <f aca="false">IF('Guest List'!$E$15="Accepted",'Guest List'!$G$15,"")</f>
        <v>4</v>
      </c>
      <c r="D8" s="8" t="str">
        <f aca="false">IF('Guest List'!$E$15="Accepted",'Guest List'!$C$15,"")</f>
        <v>Family</v>
      </c>
      <c r="E8" s="16"/>
      <c r="F8" s="16"/>
      <c r="G8" s="16"/>
    </row>
    <row r="9" customFormat="false" ht="15" hidden="false" customHeight="false" outlineLevel="0" collapsed="false">
      <c r="A9" s="8" t="str">
        <f aca="false">IF('Guest List'!$E$16="Accepted",'Guest List'!$A$16,"")</f>
        <v>Grace Villanueva</v>
      </c>
      <c r="B9" s="16" t="n">
        <f aca="false">IF('Guest List'!$E$16="Accepted",'Guest List'!$F$16,"")</f>
        <v>2</v>
      </c>
      <c r="C9" s="16" t="n">
        <f aca="false">IF('Guest List'!$E$16="Accepted",'Guest List'!$G$16,"")</f>
        <v>1</v>
      </c>
      <c r="D9" s="8" t="str">
        <f aca="false">IF('Guest List'!$E$16="Accepted",'Guest List'!$C$16,"")</f>
        <v>Ninang</v>
      </c>
      <c r="E9" s="16"/>
      <c r="F9" s="16"/>
      <c r="G9" s="16"/>
    </row>
    <row r="10" customFormat="false" ht="15" hidden="false" customHeight="false" outlineLevel="0" collapsed="false">
      <c r="A10" s="8" t="str">
        <f aca="false">IF('Guest List'!$E$17="Accepted",'Guest List'!$A$17,"")</f>
        <v>Eduardo Cruz</v>
      </c>
      <c r="B10" s="16" t="n">
        <f aca="false">IF('Guest List'!$E$17="Accepted",'Guest List'!$F$17,"")</f>
        <v>2</v>
      </c>
      <c r="C10" s="16" t="n">
        <f aca="false">IF('Guest List'!$E$17="Accepted",'Guest List'!$G$17,"")</f>
        <v>2</v>
      </c>
      <c r="D10" s="8" t="str">
        <f aca="false">IF('Guest List'!$E$17="Accepted",'Guest List'!$C$17,"")</f>
        <v>Ninong</v>
      </c>
      <c r="E10" s="16"/>
      <c r="F10" s="16"/>
      <c r="G10" s="16"/>
    </row>
    <row r="11" customFormat="false" ht="15" hidden="false" customHeight="false" outlineLevel="0" collapsed="false">
      <c r="A11" s="8" t="str">
        <f aca="false">IF('Guest List'!$E$18="Accepted",'Guest List'!$A$18,"")</f>
        <v>Lorna Cruz</v>
      </c>
      <c r="B11" s="16" t="n">
        <f aca="false">IF('Guest List'!$E$18="Accepted",'Guest List'!$F$18,"")</f>
        <v>2</v>
      </c>
      <c r="C11" s="16" t="n">
        <f aca="false">IF('Guest List'!$E$18="Accepted",'Guest List'!$G$18,"")</f>
        <v>3</v>
      </c>
      <c r="D11" s="8" t="str">
        <f aca="false">IF('Guest List'!$E$18="Accepted",'Guest List'!$C$18,"")</f>
        <v>Family</v>
      </c>
      <c r="E11" s="16"/>
      <c r="F11" s="16"/>
      <c r="G11" s="16"/>
    </row>
    <row r="12" customFormat="false" ht="15" hidden="false" customHeight="false" outlineLevel="0" collapsed="false">
      <c r="A12" s="8" t="str">
        <f aca="false">IF('Guest List'!$E$19="Accepted",'Guest List'!$A$19,"")</f>
        <v>Miguel Cruz</v>
      </c>
      <c r="B12" s="16" t="n">
        <f aca="false">IF('Guest List'!$E$19="Accepted",'Guest List'!$F$19,"")</f>
        <v>2</v>
      </c>
      <c r="C12" s="16" t="n">
        <f aca="false">IF('Guest List'!$E$19="Accepted",'Guest List'!$G$19,"")</f>
        <v>4</v>
      </c>
      <c r="D12" s="8" t="str">
        <f aca="false">IF('Guest List'!$E$19="Accepted",'Guest List'!$C$19,"")</f>
        <v>Family</v>
      </c>
      <c r="E12" s="16"/>
      <c r="F12" s="16"/>
      <c r="G12" s="16"/>
    </row>
    <row r="13" customFormat="false" ht="15" hidden="false" customHeight="false" outlineLevel="0" collapsed="false">
      <c r="A13" s="8" t="str">
        <f aca="false">IF('Guest List'!$E$20="Accepted",'Guest List'!$A$20,"")</f>
        <v>Patricia Lim</v>
      </c>
      <c r="B13" s="16" t="n">
        <f aca="false">IF('Guest List'!$E$20="Accepted",'Guest List'!$F$20,"")</f>
        <v>3</v>
      </c>
      <c r="C13" s="16" t="n">
        <f aca="false">IF('Guest List'!$E$20="Accepted",'Guest List'!$G$20,"")</f>
        <v>1</v>
      </c>
      <c r="D13" s="8" t="str">
        <f aca="false">IF('Guest List'!$E$20="Accepted",'Guest List'!$C$20,"")</f>
        <v>Bridesmaid</v>
      </c>
      <c r="E13" s="16"/>
      <c r="F13" s="16"/>
      <c r="G13" s="16"/>
    </row>
    <row r="14" customFormat="false" ht="15" hidden="false" customHeight="false" outlineLevel="0" collapsed="false">
      <c r="A14" s="8" t="str">
        <f aca="false">IF('Guest List'!$E$21="Accepted",'Guest List'!$A$21,"")</f>
        <v>Katrina Uy</v>
      </c>
      <c r="B14" s="16" t="n">
        <f aca="false">IF('Guest List'!$E$21="Accepted",'Guest List'!$F$21,"")</f>
        <v>3</v>
      </c>
      <c r="C14" s="16" t="n">
        <f aca="false">IF('Guest List'!$E$21="Accepted",'Guest List'!$G$21,"")</f>
        <v>2</v>
      </c>
      <c r="D14" s="8" t="str">
        <f aca="false">IF('Guest List'!$E$21="Accepted",'Guest List'!$C$21,"")</f>
        <v>Bridesmaid</v>
      </c>
      <c r="E14" s="16"/>
      <c r="F14" s="16"/>
      <c r="G14" s="16"/>
    </row>
    <row r="15" customFormat="false" ht="15" hidden="false" customHeight="false" outlineLevel="0" collapsed="false">
      <c r="A15" s="8" t="str">
        <f aca="false">IF('Guest List'!$E$22="Accepted",'Guest List'!$A$22,"")</f>
        <v>Joanne Tan</v>
      </c>
      <c r="B15" s="16" t="n">
        <f aca="false">IF('Guest List'!$E$22="Accepted",'Guest List'!$F$22,"")</f>
        <v>3</v>
      </c>
      <c r="C15" s="16" t="n">
        <f aca="false">IF('Guest List'!$E$22="Accepted",'Guest List'!$G$22,"")</f>
        <v>3</v>
      </c>
      <c r="D15" s="8" t="str">
        <f aca="false">IF('Guest List'!$E$22="Accepted",'Guest List'!$C$22,"")</f>
        <v>Bridesmaid</v>
      </c>
      <c r="E15" s="16"/>
      <c r="F15" s="16"/>
      <c r="G15" s="16"/>
    </row>
    <row r="16" customFormat="false" ht="15" hidden="false" customHeight="false" outlineLevel="0" collapsed="false">
      <c r="A16" s="8" t="str">
        <f aca="false">IF('Guest List'!$E$23="Accepted",'Guest List'!$A$23,"")</f>
        <v>Paolo Mendoza</v>
      </c>
      <c r="B16" s="16" t="n">
        <f aca="false">IF('Guest List'!$E$23="Accepted",'Guest List'!$F$23,"")</f>
        <v>3</v>
      </c>
      <c r="C16" s="16" t="n">
        <f aca="false">IF('Guest List'!$E$23="Accepted",'Guest List'!$G$23,"")</f>
        <v>4</v>
      </c>
      <c r="D16" s="8" t="str">
        <f aca="false">IF('Guest List'!$E$23="Accepted",'Guest List'!$C$23,"")</f>
        <v>Groomsman</v>
      </c>
      <c r="E16" s="16"/>
      <c r="F16" s="16"/>
      <c r="G16" s="16"/>
    </row>
    <row r="17" customFormat="false" ht="15" hidden="false" customHeight="false" outlineLevel="0" collapsed="false">
      <c r="A17" s="8" t="str">
        <f aca="false">IF('Guest List'!$E$24="Accepted",'Guest List'!$A$24,"")</f>
        <v>Rafael Ocampo</v>
      </c>
      <c r="B17" s="16" t="n">
        <f aca="false">IF('Guest List'!$E$24="Accepted",'Guest List'!$F$24,"")</f>
        <v>3</v>
      </c>
      <c r="C17" s="16" t="n">
        <f aca="false">IF('Guest List'!$E$24="Accepted",'Guest List'!$G$24,"")</f>
        <v>5</v>
      </c>
      <c r="D17" s="8" t="str">
        <f aca="false">IF('Guest List'!$E$24="Accepted",'Guest List'!$C$24,"")</f>
        <v>Groomsman</v>
      </c>
      <c r="E17" s="16"/>
      <c r="F17" s="16"/>
      <c r="G17" s="16"/>
    </row>
    <row r="18" customFormat="false" ht="15" hidden="false" customHeight="false" outlineLevel="0" collapsed="false">
      <c r="A18" s="8" t="str">
        <f aca="false">IF('Guest List'!$E$25="Accepted",'Guest List'!$A$25,"")</f>
        <v>Dennis Yap</v>
      </c>
      <c r="B18" s="16" t="n">
        <f aca="false">IF('Guest List'!$E$25="Accepted",'Guest List'!$F$25,"")</f>
        <v>3</v>
      </c>
      <c r="C18" s="16" t="n">
        <f aca="false">IF('Guest List'!$E$25="Accepted",'Guest List'!$G$25,"")</f>
        <v>6</v>
      </c>
      <c r="D18" s="8" t="str">
        <f aca="false">IF('Guest List'!$E$25="Accepted",'Guest List'!$C$25,"")</f>
        <v>Groomsman</v>
      </c>
      <c r="E18" s="16"/>
      <c r="F18" s="16"/>
      <c r="G18" s="16"/>
    </row>
    <row r="19" customFormat="false" ht="15" hidden="false" customHeight="false" outlineLevel="0" collapsed="false">
      <c r="A19" s="8" t="str">
        <f aca="false">IF('Guest List'!$E$26="Accepted",'Guest List'!$A$26,"")</f>
        <v>Sofia Bautista</v>
      </c>
      <c r="B19" s="16" t="n">
        <f aca="false">IF('Guest List'!$E$26="Accepted",'Guest List'!$F$26,"")</f>
        <v>4</v>
      </c>
      <c r="C19" s="16" t="n">
        <f aca="false">IF('Guest List'!$E$26="Accepted",'Guest List'!$G$26,"")</f>
        <v>1</v>
      </c>
      <c r="D19" s="8" t="str">
        <f aca="false">IF('Guest List'!$E$26="Accepted",'Guest List'!$C$26,"")</f>
        <v>College</v>
      </c>
      <c r="E19" s="16"/>
      <c r="F19" s="16"/>
      <c r="G19" s="16"/>
    </row>
    <row r="20" customFormat="false" ht="15" hidden="false" customHeight="false" outlineLevel="0" collapsed="false">
      <c r="A20" s="8" t="str">
        <f aca="false">IF('Guest List'!$E$27="Accepted",'Guest List'!$A$27,"")</f>
        <v>Mark Bautista</v>
      </c>
      <c r="B20" s="16" t="n">
        <f aca="false">IF('Guest List'!$E$27="Accepted",'Guest List'!$F$27,"")</f>
        <v>4</v>
      </c>
      <c r="C20" s="16" t="n">
        <f aca="false">IF('Guest List'!$E$27="Accepted",'Guest List'!$G$27,"")</f>
        <v>2</v>
      </c>
      <c r="D20" s="8" t="str">
        <f aca="false">IF('Guest List'!$E$27="Accepted",'Guest List'!$C$27,"")</f>
        <v>College</v>
      </c>
      <c r="E20" s="16"/>
      <c r="F20" s="16"/>
      <c r="G20" s="16"/>
    </row>
    <row r="21" customFormat="false" ht="15" hidden="false" customHeight="false" outlineLevel="0" collapsed="false">
      <c r="A21" s="8" t="str">
        <f aca="false">IF('Guest List'!$E$28="Accepted",'Guest List'!$A$28,"")</f>
        <v>Trina Sarmiento</v>
      </c>
      <c r="B21" s="16" t="n">
        <f aca="false">IF('Guest List'!$E$28="Accepted",'Guest List'!$F$28,"")</f>
        <v>4</v>
      </c>
      <c r="C21" s="16" t="n">
        <f aca="false">IF('Guest List'!$E$28="Accepted",'Guest List'!$G$28,"")</f>
        <v>3</v>
      </c>
      <c r="D21" s="8" t="str">
        <f aca="false">IF('Guest List'!$E$28="Accepted",'Guest List'!$C$28,"")</f>
        <v>College</v>
      </c>
      <c r="E21" s="16"/>
      <c r="F21" s="16"/>
      <c r="G21" s="16"/>
    </row>
    <row r="22" customFormat="false" ht="15" hidden="false" customHeight="false" outlineLevel="0" collapsed="false">
      <c r="A22" s="8" t="str">
        <f aca="false">IF('Guest List'!$E$29="Accepted",'Guest List'!$A$29,"")</f>
        <v/>
      </c>
      <c r="B22" s="16" t="str">
        <f aca="false">IF('Guest List'!$E$29="Accepted",'Guest List'!$F$29,"")</f>
        <v/>
      </c>
      <c r="C22" s="16" t="str">
        <f aca="false">IF('Guest List'!$E$29="Accepted",'Guest List'!$G$29,"")</f>
        <v/>
      </c>
      <c r="D22" s="8" t="str">
        <f aca="false">IF('Guest List'!$E$29="Accepted",'Guest List'!$C$29,"")</f>
        <v/>
      </c>
      <c r="E22" s="16"/>
      <c r="F22" s="16"/>
      <c r="G22" s="16"/>
    </row>
    <row r="23" customFormat="false" ht="15" hidden="false" customHeight="false" outlineLevel="0" collapsed="false">
      <c r="A23" s="8" t="str">
        <f aca="false">IF('Guest List'!$E$30="Accepted",'Guest List'!$A$30,"")</f>
        <v/>
      </c>
      <c r="B23" s="16" t="str">
        <f aca="false">IF('Guest List'!$E$30="Accepted",'Guest List'!$F$30,"")</f>
        <v/>
      </c>
      <c r="C23" s="16" t="str">
        <f aca="false">IF('Guest List'!$E$30="Accepted",'Guest List'!$G$30,"")</f>
        <v/>
      </c>
      <c r="D23" s="8" t="str">
        <f aca="false">IF('Guest List'!$E$30="Accepted",'Guest List'!$C$30,"")</f>
        <v/>
      </c>
      <c r="E23" s="16"/>
      <c r="F23" s="16"/>
      <c r="G23" s="16"/>
    </row>
    <row r="24" customFormat="false" ht="15" hidden="false" customHeight="false" outlineLevel="0" collapsed="false">
      <c r="A24" s="8" t="str">
        <f aca="false">IF('Guest List'!$E$31="Accepted",'Guest List'!$A$31,"")</f>
        <v>Nico Aquino</v>
      </c>
      <c r="B24" s="16" t="n">
        <f aca="false">IF('Guest List'!$E$31="Accepted",'Guest List'!$F$31,"")</f>
        <v>5</v>
      </c>
      <c r="C24" s="16" t="n">
        <f aca="false">IF('Guest List'!$E$31="Accepted",'Guest List'!$G$31,"")</f>
        <v>1</v>
      </c>
      <c r="D24" s="8" t="str">
        <f aca="false">IF('Guest List'!$E$31="Accepted",'Guest List'!$C$31,"")</f>
        <v>Work</v>
      </c>
      <c r="E24" s="16"/>
      <c r="F24" s="16"/>
      <c r="G24" s="16"/>
    </row>
    <row r="25" customFormat="false" ht="15" hidden="false" customHeight="false" outlineLevel="0" collapsed="false">
      <c r="A25" s="8" t="str">
        <f aca="false">IF('Guest List'!$E$32="Accepted",'Guest List'!$A$32,"")</f>
        <v>Hannah Dela Cruz</v>
      </c>
      <c r="B25" s="16" t="n">
        <f aca="false">IF('Guest List'!$E$32="Accepted",'Guest List'!$F$32,"")</f>
        <v>5</v>
      </c>
      <c r="C25" s="16" t="n">
        <f aca="false">IF('Guest List'!$E$32="Accepted",'Guest List'!$G$32,"")</f>
        <v>2</v>
      </c>
      <c r="D25" s="8" t="str">
        <f aca="false">IF('Guest List'!$E$32="Accepted",'Guest List'!$C$32,"")</f>
        <v>Work</v>
      </c>
      <c r="E25" s="16"/>
      <c r="F25" s="16"/>
      <c r="G25" s="16"/>
    </row>
    <row r="26" customFormat="false" ht="15" hidden="false" customHeight="false" outlineLevel="0" collapsed="false">
      <c r="A26" s="8" t="str">
        <f aca="false">IF('Guest List'!$E$33="Accepted",'Guest List'!$A$33,"")</f>
        <v>Christian Bello</v>
      </c>
      <c r="B26" s="16" t="n">
        <f aca="false">IF('Guest List'!$E$33="Accepted",'Guest List'!$F$33,"")</f>
        <v>5</v>
      </c>
      <c r="C26" s="16" t="n">
        <f aca="false">IF('Guest List'!$E$33="Accepted",'Guest List'!$G$33,"")</f>
        <v>3</v>
      </c>
      <c r="D26" s="8" t="str">
        <f aca="false">IF('Guest List'!$E$33="Accepted",'Guest List'!$C$33,"")</f>
        <v>Work</v>
      </c>
      <c r="E26" s="16"/>
      <c r="F26" s="16"/>
      <c r="G26" s="16"/>
    </row>
    <row r="27" customFormat="false" ht="15" hidden="false" customHeight="false" outlineLevel="0" collapsed="false">
      <c r="A27" s="8" t="str">
        <f aca="false">IF('Guest List'!$E$34="Accepted",'Guest List'!$A$34,"")</f>
        <v>Angela Navarro</v>
      </c>
      <c r="B27" s="16" t="n">
        <f aca="false">IF('Guest List'!$E$34="Accepted",'Guest List'!$F$34,"")</f>
        <v>5</v>
      </c>
      <c r="C27" s="16" t="n">
        <f aca="false">IF('Guest List'!$E$34="Accepted",'Guest List'!$G$34,"")</f>
        <v>4</v>
      </c>
      <c r="D27" s="8" t="str">
        <f aca="false">IF('Guest List'!$E$34="Accepted",'Guest List'!$C$34,"")</f>
        <v>Work</v>
      </c>
      <c r="E27" s="16"/>
      <c r="F27" s="16"/>
      <c r="G27" s="16"/>
    </row>
    <row r="28" customFormat="false" ht="15" hidden="false" customHeight="false" outlineLevel="0" collapsed="false">
      <c r="A28" s="8" t="str">
        <f aca="false">IF('Guest List'!$E$35="Accepted",'Guest List'!$A$35,"")</f>
        <v/>
      </c>
      <c r="B28" s="16" t="str">
        <f aca="false">IF('Guest List'!$E$35="Accepted",'Guest List'!$F$35,"")</f>
        <v/>
      </c>
      <c r="C28" s="16" t="str">
        <f aca="false">IF('Guest List'!$E$35="Accepted",'Guest List'!$G$35,"")</f>
        <v/>
      </c>
      <c r="D28" s="8" t="str">
        <f aca="false">IF('Guest List'!$E$35="Accepted",'Guest List'!$C$35,"")</f>
        <v/>
      </c>
      <c r="E28" s="16"/>
      <c r="F28" s="16"/>
      <c r="G28" s="16"/>
    </row>
    <row r="29" customFormat="false" ht="15" hidden="false" customHeight="false" outlineLevel="0" collapsed="false">
      <c r="A29" s="8" t="str">
        <f aca="false">IF('Guest List'!$E$36="Accepted",'Guest List'!$A$36,"")</f>
        <v/>
      </c>
      <c r="B29" s="16" t="str">
        <f aca="false">IF('Guest List'!$E$36="Accepted",'Guest List'!$F$36,"")</f>
        <v/>
      </c>
      <c r="C29" s="16" t="str">
        <f aca="false">IF('Guest List'!$E$36="Accepted",'Guest List'!$G$36,"")</f>
        <v/>
      </c>
      <c r="D29" s="8" t="str">
        <f aca="false">IF('Guest List'!$E$36="Accepted",'Guest List'!$C$36,"")</f>
        <v/>
      </c>
      <c r="E29" s="16"/>
      <c r="F29" s="16"/>
      <c r="G29" s="16"/>
    </row>
    <row r="30" customFormat="false" ht="15" hidden="false" customHeight="false" outlineLevel="0" collapsed="false">
      <c r="A30" s="8" t="str">
        <f aca="false">IF('Guest List'!$E$37="Accepted",'Guest List'!$A$37,"")</f>
        <v>Fr. Antonio Reyes</v>
      </c>
      <c r="B30" s="16" t="n">
        <f aca="false">IF('Guest List'!$E$37="Accepted",'Guest List'!$F$37,"")</f>
        <v>0</v>
      </c>
      <c r="C30" s="16" t="n">
        <f aca="false">IF('Guest List'!$E$37="Accepted",'Guest List'!$G$37,"")</f>
        <v>0</v>
      </c>
      <c r="D30" s="8" t="str">
        <f aca="false">IF('Guest List'!$E$37="Accepted",'Guest List'!$C$37,"")</f>
        <v>Officiant</v>
      </c>
      <c r="E30" s="16"/>
      <c r="F30" s="16"/>
      <c r="G30" s="16"/>
    </row>
    <row r="31" customFormat="false" ht="15" hidden="false" customHeight="false" outlineLevel="0" collapsed="false">
      <c r="A31" s="8" t="str">
        <f aca="false">IF('Guest List'!$E$38="Accepted",'Guest List'!$A$38,"")</f>
        <v>Liza Gomez</v>
      </c>
      <c r="B31" s="16" t="n">
        <f aca="false">IF('Guest List'!$E$38="Accepted",'Guest List'!$F$38,"")</f>
        <v>6</v>
      </c>
      <c r="C31" s="16" t="n">
        <f aca="false">IF('Guest List'!$E$38="Accepted",'Guest List'!$G$38,"")</f>
        <v>1</v>
      </c>
      <c r="D31" s="8" t="str">
        <f aca="false">IF('Guest List'!$E$38="Accepted",'Guest List'!$C$38,"")</f>
        <v>Family Friend</v>
      </c>
      <c r="E31" s="16"/>
      <c r="F31" s="16"/>
      <c r="G31" s="16"/>
    </row>
    <row r="32" customFormat="false" ht="15" hidden="false" customHeight="false" outlineLevel="0" collapsed="false">
      <c r="A32" s="8" t="str">
        <f aca="false">IF('Guest List'!$E$39="Accepted",'Guest List'!$A$39,"")</f>
        <v>Arturo Gomez</v>
      </c>
      <c r="B32" s="16" t="n">
        <f aca="false">IF('Guest List'!$E$39="Accepted",'Guest List'!$F$39,"")</f>
        <v>6</v>
      </c>
      <c r="C32" s="16" t="n">
        <f aca="false">IF('Guest List'!$E$39="Accepted",'Guest List'!$G$39,"")</f>
        <v>2</v>
      </c>
      <c r="D32" s="8" t="str">
        <f aca="false">IF('Guest List'!$E$39="Accepted",'Guest List'!$C$39,"")</f>
        <v>Family Friend</v>
      </c>
      <c r="E32" s="16"/>
      <c r="F32" s="16"/>
      <c r="G32" s="16"/>
    </row>
    <row r="33" customFormat="false" ht="15" hidden="false" customHeight="false" outlineLevel="0" collapsed="false">
      <c r="A33" s="8" t="str">
        <f aca="false">IF('Guest List'!$E$40="Accepted",'Guest List'!$A$40,"")</f>
        <v>Cielo Ramos</v>
      </c>
      <c r="B33" s="16" t="n">
        <f aca="false">IF('Guest List'!$E$40="Accepted",'Guest List'!$F$40,"")</f>
        <v>6</v>
      </c>
      <c r="C33" s="16" t="n">
        <f aca="false">IF('Guest List'!$E$40="Accepted",'Guest List'!$G$40,"")</f>
        <v>3</v>
      </c>
      <c r="D33" s="8" t="str">
        <f aca="false">IF('Guest List'!$E$40="Accepted",'Guest List'!$C$40,"")</f>
        <v>Family Friend</v>
      </c>
      <c r="E33" s="16"/>
      <c r="F33" s="16"/>
      <c r="G33" s="16"/>
    </row>
    <row r="34" customFormat="false" ht="15" hidden="false" customHeight="false" outlineLevel="0" collapsed="false">
      <c r="A34" s="8" t="str">
        <f aca="false">IF('Guest List'!$E$41="Accepted",'Guest List'!$A$41,"")</f>
        <v>Benjie Salazar</v>
      </c>
      <c r="B34" s="16" t="n">
        <f aca="false">IF('Guest List'!$E$41="Accepted",'Guest List'!$F$41,"")</f>
        <v>6</v>
      </c>
      <c r="C34" s="16" t="n">
        <f aca="false">IF('Guest List'!$E$41="Accepted",'Guest List'!$G$41,"")</f>
        <v>4</v>
      </c>
      <c r="D34" s="8" t="str">
        <f aca="false">IF('Guest List'!$E$41="Accepted",'Guest List'!$C$41,"")</f>
        <v>Family Friend</v>
      </c>
      <c r="E34" s="16"/>
      <c r="F34" s="16"/>
      <c r="G34" s="16"/>
    </row>
    <row r="35" customFormat="false" ht="15" hidden="false" customHeight="false" outlineLevel="0" collapsed="false">
      <c r="A35" s="8" t="str">
        <f aca="false">IF('Guest List'!$E$42="Accepted",'Guest List'!$A$42,"")</f>
        <v/>
      </c>
      <c r="B35" s="16" t="str">
        <f aca="false">IF('Guest List'!$E$42="Accepted",'Guest List'!$F$42,"")</f>
        <v/>
      </c>
      <c r="C35" s="16" t="str">
        <f aca="false">IF('Guest List'!$E$42="Accepted",'Guest List'!$G$42,"")</f>
        <v/>
      </c>
      <c r="D35" s="8" t="str">
        <f aca="false">IF('Guest List'!$E$42="Accepted",'Guest List'!$C$42,"")</f>
        <v/>
      </c>
      <c r="E35" s="16"/>
      <c r="F35" s="16"/>
      <c r="G35" s="16"/>
    </row>
    <row r="36" customFormat="false" ht="15" hidden="false" customHeight="false" outlineLevel="0" collapsed="false">
      <c r="A36" s="8" t="str">
        <f aca="false">IF('Guest List'!$E$43="Accepted",'Guest List'!$A$43,"")</f>
        <v/>
      </c>
      <c r="B36" s="16" t="str">
        <f aca="false">IF('Guest List'!$E$43="Accepted",'Guest List'!$F$43,"")</f>
        <v/>
      </c>
      <c r="C36" s="16" t="str">
        <f aca="false">IF('Guest List'!$E$43="Accepted",'Guest List'!$G$43,"")</f>
        <v/>
      </c>
      <c r="D36" s="8" t="str">
        <f aca="false">IF('Guest List'!$E$43="Accepted",'Guest List'!$C$43,"")</f>
        <v/>
      </c>
      <c r="E36" s="16"/>
      <c r="F36" s="16"/>
      <c r="G36" s="16"/>
    </row>
    <row r="37" customFormat="false" ht="15" hidden="false" customHeight="false" outlineLevel="0" collapsed="false">
      <c r="A37" s="8" t="str">
        <f aca="false">IF('Guest List'!$E$44="Accepted",'Guest List'!$A$44,"")</f>
        <v/>
      </c>
      <c r="B37" s="16" t="str">
        <f aca="false">IF('Guest List'!$E$44="Accepted",'Guest List'!$F$44,"")</f>
        <v/>
      </c>
      <c r="C37" s="16" t="str">
        <f aca="false">IF('Guest List'!$E$44="Accepted",'Guest List'!$G$44,"")</f>
        <v/>
      </c>
      <c r="D37" s="8" t="str">
        <f aca="false">IF('Guest List'!$E$44="Accepted",'Guest List'!$C$44,"")</f>
        <v/>
      </c>
      <c r="E37" s="16"/>
      <c r="F37" s="16"/>
      <c r="G37" s="16"/>
    </row>
    <row r="38" customFormat="false" ht="15" hidden="false" customHeight="false" outlineLevel="0" collapsed="false">
      <c r="A38" s="8" t="str">
        <f aca="false">IF('Guest List'!$E$45="Accepted",'Guest List'!$A$45,"")</f>
        <v/>
      </c>
      <c r="B38" s="16" t="str">
        <f aca="false">IF('Guest List'!$E$45="Accepted",'Guest List'!$F$45,"")</f>
        <v/>
      </c>
      <c r="C38" s="16" t="str">
        <f aca="false">IF('Guest List'!$E$45="Accepted",'Guest List'!$G$45,"")</f>
        <v/>
      </c>
      <c r="D38" s="8" t="str">
        <f aca="false">IF('Guest List'!$E$45="Accepted",'Guest List'!$C$45,"")</f>
        <v/>
      </c>
      <c r="E38" s="16"/>
      <c r="F38" s="16"/>
      <c r="G38" s="16"/>
    </row>
    <row r="39" customFormat="false" ht="15" hidden="false" customHeight="false" outlineLevel="0" collapsed="false">
      <c r="A39" s="8" t="str">
        <f aca="false">IF('Guest List'!$E$46="Accepted",'Guest List'!$A$46,"")</f>
        <v/>
      </c>
      <c r="B39" s="16" t="str">
        <f aca="false">IF('Guest List'!$E$46="Accepted",'Guest List'!$F$46,"")</f>
        <v/>
      </c>
      <c r="C39" s="16" t="str">
        <f aca="false">IF('Guest List'!$E$46="Accepted",'Guest List'!$G$46,"")</f>
        <v/>
      </c>
      <c r="D39" s="8" t="str">
        <f aca="false">IF('Guest List'!$E$46="Accepted",'Guest List'!$C$46,"")</f>
        <v/>
      </c>
      <c r="E39" s="16"/>
      <c r="F39" s="16"/>
      <c r="G39" s="16"/>
    </row>
    <row r="40" customFormat="false" ht="15" hidden="false" customHeight="false" outlineLevel="0" collapsed="false">
      <c r="A40" s="8" t="str">
        <f aca="false">IF('Guest List'!$E$47="Accepted",'Guest List'!$A$47,"")</f>
        <v/>
      </c>
      <c r="B40" s="16" t="str">
        <f aca="false">IF('Guest List'!$E$47="Accepted",'Guest List'!$F$47,"")</f>
        <v/>
      </c>
      <c r="C40" s="16" t="str">
        <f aca="false">IF('Guest List'!$E$47="Accepted",'Guest List'!$G$47,"")</f>
        <v/>
      </c>
      <c r="D40" s="8" t="str">
        <f aca="false">IF('Guest List'!$E$47="Accepted",'Guest List'!$C$47,"")</f>
        <v/>
      </c>
      <c r="E40" s="16"/>
      <c r="F40" s="16"/>
      <c r="G40" s="16"/>
    </row>
    <row r="41" customFormat="false" ht="15" hidden="false" customHeight="false" outlineLevel="0" collapsed="false">
      <c r="A41" s="8" t="str">
        <f aca="false">IF('Guest List'!$E$48="Accepted",'Guest List'!$A$48,"")</f>
        <v/>
      </c>
      <c r="B41" s="16" t="str">
        <f aca="false">IF('Guest List'!$E$48="Accepted",'Guest List'!$F$48,"")</f>
        <v/>
      </c>
      <c r="C41" s="16" t="str">
        <f aca="false">IF('Guest List'!$E$48="Accepted",'Guest List'!$G$48,"")</f>
        <v/>
      </c>
      <c r="D41" s="8" t="str">
        <f aca="false">IF('Guest List'!$E$48="Accepted",'Guest List'!$C$48,"")</f>
        <v/>
      </c>
      <c r="E41" s="16"/>
      <c r="F41" s="16"/>
      <c r="G41" s="16"/>
    </row>
    <row r="42" customFormat="false" ht="15" hidden="false" customHeight="false" outlineLevel="0" collapsed="false">
      <c r="A42" s="8" t="str">
        <f aca="false">IF('Guest List'!$E$49="Accepted",'Guest List'!$A$49,"")</f>
        <v/>
      </c>
      <c r="B42" s="16" t="str">
        <f aca="false">IF('Guest List'!$E$49="Accepted",'Guest List'!$F$49,"")</f>
        <v/>
      </c>
      <c r="C42" s="16" t="str">
        <f aca="false">IF('Guest List'!$E$49="Accepted",'Guest List'!$G$49,"")</f>
        <v/>
      </c>
      <c r="D42" s="8" t="str">
        <f aca="false">IF('Guest List'!$E$49="Accepted",'Guest List'!$C$49,"")</f>
        <v/>
      </c>
      <c r="E42" s="16"/>
      <c r="F42" s="16"/>
      <c r="G42" s="16"/>
    </row>
    <row r="43" customFormat="false" ht="15" hidden="false" customHeight="false" outlineLevel="0" collapsed="false">
      <c r="A43" s="8" t="str">
        <f aca="false">IF('Guest List'!$E$50="Accepted",'Guest List'!$A$50,"")</f>
        <v/>
      </c>
      <c r="B43" s="16" t="str">
        <f aca="false">IF('Guest List'!$E$50="Accepted",'Guest List'!$F$50,"")</f>
        <v/>
      </c>
      <c r="C43" s="16" t="str">
        <f aca="false">IF('Guest List'!$E$50="Accepted",'Guest List'!$G$50,"")</f>
        <v/>
      </c>
      <c r="D43" s="8" t="str">
        <f aca="false">IF('Guest List'!$E$50="Accepted",'Guest List'!$C$50,"")</f>
        <v/>
      </c>
      <c r="E43" s="16"/>
      <c r="F43" s="16"/>
      <c r="G43" s="16"/>
    </row>
    <row r="44" customFormat="false" ht="15" hidden="false" customHeight="false" outlineLevel="0" collapsed="false">
      <c r="A44" s="8" t="str">
        <f aca="false">IF('Guest List'!$E$51="Accepted",'Guest List'!$A$51,"")</f>
        <v/>
      </c>
      <c r="B44" s="16" t="str">
        <f aca="false">IF('Guest List'!$E$51="Accepted",'Guest List'!$F$51,"")</f>
        <v/>
      </c>
      <c r="C44" s="16" t="str">
        <f aca="false">IF('Guest List'!$E$51="Accepted",'Guest List'!$G$51,"")</f>
        <v/>
      </c>
      <c r="D44" s="8" t="str">
        <f aca="false">IF('Guest List'!$E$51="Accepted",'Guest List'!$C$51,"")</f>
        <v/>
      </c>
      <c r="E44" s="16"/>
      <c r="F44" s="16"/>
      <c r="G4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17" t="s">
        <v>123</v>
      </c>
      <c r="B4" s="17" t="s">
        <v>124</v>
      </c>
      <c r="C4" s="17" t="s">
        <v>125</v>
      </c>
      <c r="D4" s="17" t="s">
        <v>126</v>
      </c>
      <c r="E4" s="17" t="s">
        <v>18</v>
      </c>
    </row>
    <row r="5" customFormat="false" ht="15" hidden="false" customHeight="false" outlineLevel="0" collapsed="false">
      <c r="A5" s="16" t="s">
        <v>127</v>
      </c>
      <c r="B5" s="8" t="s">
        <v>128</v>
      </c>
      <c r="C5" s="8" t="s">
        <v>129</v>
      </c>
      <c r="D5" s="8" t="s">
        <v>130</v>
      </c>
      <c r="E5" s="8" t="s">
        <v>131</v>
      </c>
    </row>
    <row r="6" customFormat="false" ht="15" hidden="false" customHeight="false" outlineLevel="0" collapsed="false">
      <c r="A6" s="16" t="s">
        <v>132</v>
      </c>
      <c r="B6" s="8" t="s">
        <v>133</v>
      </c>
      <c r="C6" s="8" t="s">
        <v>134</v>
      </c>
      <c r="D6" s="8" t="s">
        <v>130</v>
      </c>
      <c r="E6" s="8" t="s">
        <v>135</v>
      </c>
    </row>
    <row r="7" customFormat="false" ht="15" hidden="false" customHeight="false" outlineLevel="0" collapsed="false">
      <c r="A7" s="16" t="s">
        <v>136</v>
      </c>
      <c r="B7" s="8" t="s">
        <v>137</v>
      </c>
      <c r="C7" s="8" t="s">
        <v>138</v>
      </c>
      <c r="D7" s="8" t="s">
        <v>139</v>
      </c>
      <c r="E7" s="8" t="s">
        <v>140</v>
      </c>
    </row>
    <row r="8" customFormat="false" ht="15" hidden="false" customHeight="false" outlineLevel="0" collapsed="false">
      <c r="A8" s="16" t="s">
        <v>141</v>
      </c>
      <c r="B8" s="8" t="s">
        <v>142</v>
      </c>
      <c r="C8" s="8" t="s">
        <v>143</v>
      </c>
      <c r="D8" s="8" t="s">
        <v>94</v>
      </c>
      <c r="E8" s="8" t="s">
        <v>144</v>
      </c>
    </row>
    <row r="9" customFormat="false" ht="15" hidden="false" customHeight="false" outlineLevel="0" collapsed="false">
      <c r="A9" s="16" t="s">
        <v>145</v>
      </c>
      <c r="B9" s="8" t="s">
        <v>146</v>
      </c>
      <c r="C9" s="8" t="s">
        <v>147</v>
      </c>
      <c r="D9" s="8" t="s">
        <v>148</v>
      </c>
      <c r="E9" s="8" t="s">
        <v>149</v>
      </c>
    </row>
    <row r="10" customFormat="false" ht="15" hidden="false" customHeight="false" outlineLevel="0" collapsed="false">
      <c r="A10" s="16" t="s">
        <v>150</v>
      </c>
      <c r="B10" s="8" t="s">
        <v>151</v>
      </c>
      <c r="C10" s="8" t="s">
        <v>152</v>
      </c>
      <c r="D10" s="8" t="s">
        <v>153</v>
      </c>
      <c r="E10" s="8" t="s">
        <v>154</v>
      </c>
    </row>
    <row r="11" customFormat="false" ht="15" hidden="false" customHeight="false" outlineLevel="0" collapsed="false">
      <c r="A11" s="16" t="s">
        <v>155</v>
      </c>
      <c r="B11" s="8" t="s">
        <v>156</v>
      </c>
      <c r="C11" s="8" t="s">
        <v>134</v>
      </c>
      <c r="D11" s="8" t="s">
        <v>157</v>
      </c>
      <c r="E11" s="8" t="s">
        <v>158</v>
      </c>
    </row>
    <row r="12" customFormat="false" ht="15" hidden="false" customHeight="false" outlineLevel="0" collapsed="false">
      <c r="A12" s="16" t="s">
        <v>159</v>
      </c>
      <c r="B12" s="8" t="s">
        <v>160</v>
      </c>
      <c r="C12" s="8" t="s">
        <v>134</v>
      </c>
      <c r="D12" s="8" t="s">
        <v>157</v>
      </c>
      <c r="E12" s="8" t="s">
        <v>161</v>
      </c>
    </row>
    <row r="13" customFormat="false" ht="15" hidden="false" customHeight="false" outlineLevel="0" collapsed="false">
      <c r="A13" s="16" t="s">
        <v>162</v>
      </c>
      <c r="B13" s="8" t="s">
        <v>163</v>
      </c>
      <c r="C13" s="8" t="s">
        <v>134</v>
      </c>
      <c r="D13" s="8" t="s">
        <v>164</v>
      </c>
      <c r="E13" s="8"/>
    </row>
    <row r="14" customFormat="false" ht="15" hidden="false" customHeight="false" outlineLevel="0" collapsed="false">
      <c r="A14" s="16" t="s">
        <v>165</v>
      </c>
      <c r="B14" s="8" t="s">
        <v>166</v>
      </c>
      <c r="C14" s="8" t="s">
        <v>167</v>
      </c>
      <c r="D14" s="8" t="s">
        <v>168</v>
      </c>
      <c r="E14" s="8" t="s">
        <v>169</v>
      </c>
    </row>
    <row r="15" customFormat="false" ht="15" hidden="false" customHeight="false" outlineLevel="0" collapsed="false">
      <c r="A15" s="16" t="s">
        <v>170</v>
      </c>
      <c r="B15" s="8" t="s">
        <v>171</v>
      </c>
      <c r="C15" s="8" t="s">
        <v>172</v>
      </c>
      <c r="D15" s="8" t="s">
        <v>130</v>
      </c>
      <c r="E15" s="8" t="s">
        <v>173</v>
      </c>
    </row>
    <row r="16" customFormat="false" ht="15" hidden="false" customHeight="false" outlineLevel="0" collapsed="false">
      <c r="A16" s="16" t="s">
        <v>174</v>
      </c>
      <c r="B16" s="8" t="s">
        <v>175</v>
      </c>
      <c r="C16" s="8" t="s">
        <v>129</v>
      </c>
      <c r="D16" s="8" t="s">
        <v>130</v>
      </c>
      <c r="E16" s="8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</row>
    <row r="4" customFormat="false" ht="27.75" hidden="false" customHeight="true" outlineLevel="0" collapsed="false">
      <c r="A4" s="5" t="s">
        <v>179</v>
      </c>
      <c r="B4" s="5" t="s">
        <v>180</v>
      </c>
      <c r="C4" s="5" t="s">
        <v>181</v>
      </c>
      <c r="D4" s="5" t="s">
        <v>182</v>
      </c>
      <c r="E4" s="5" t="s">
        <v>183</v>
      </c>
    </row>
    <row r="5" customFormat="false" ht="15" hidden="false" customHeight="false" outlineLevel="0" collapsed="false">
      <c r="A5" s="8" t="s">
        <v>184</v>
      </c>
      <c r="B5" s="6"/>
      <c r="C5" s="7"/>
      <c r="D5" s="7"/>
      <c r="E5" s="6"/>
    </row>
    <row r="6" customFormat="false" ht="15" hidden="false" customHeight="false" outlineLevel="0" collapsed="false">
      <c r="A6" s="8" t="s">
        <v>185</v>
      </c>
      <c r="B6" s="6"/>
      <c r="C6" s="7"/>
      <c r="D6" s="7"/>
      <c r="E6" s="6"/>
    </row>
    <row r="7" customFormat="false" ht="15" hidden="false" customHeight="false" outlineLevel="0" collapsed="false">
      <c r="A7" s="8" t="s">
        <v>186</v>
      </c>
      <c r="B7" s="6"/>
      <c r="C7" s="7"/>
      <c r="D7" s="7"/>
      <c r="E7" s="6"/>
    </row>
    <row r="8" customFormat="false" ht="15" hidden="false" customHeight="false" outlineLevel="0" collapsed="false">
      <c r="A8" s="8" t="s">
        <v>187</v>
      </c>
      <c r="B8" s="6"/>
      <c r="C8" s="7"/>
      <c r="D8" s="7"/>
      <c r="E8" s="6"/>
    </row>
    <row r="9" customFormat="false" ht="15" hidden="false" customHeight="false" outlineLevel="0" collapsed="false">
      <c r="A9" s="8" t="s">
        <v>188</v>
      </c>
      <c r="B9" s="6"/>
      <c r="C9" s="7"/>
      <c r="D9" s="7"/>
      <c r="E9" s="6"/>
    </row>
    <row r="10" customFormat="false" ht="15" hidden="false" customHeight="false" outlineLevel="0" collapsed="false">
      <c r="A10" s="8" t="s">
        <v>189</v>
      </c>
      <c r="B10" s="6"/>
      <c r="C10" s="7"/>
      <c r="D10" s="7"/>
      <c r="E10" s="6"/>
    </row>
    <row r="11" customFormat="false" ht="15" hidden="false" customHeight="false" outlineLevel="0" collapsed="false">
      <c r="A11" s="8" t="s">
        <v>190</v>
      </c>
      <c r="B11" s="6"/>
      <c r="C11" s="7"/>
      <c r="D11" s="7"/>
      <c r="E11" s="6"/>
    </row>
    <row r="12" customFormat="false" ht="15" hidden="false" customHeight="false" outlineLevel="0" collapsed="false">
      <c r="A12" s="8" t="s">
        <v>191</v>
      </c>
      <c r="B12" s="6"/>
      <c r="C12" s="7"/>
      <c r="D12" s="7"/>
      <c r="E12" s="6"/>
    </row>
    <row r="13" customFormat="false" ht="15" hidden="false" customHeight="false" outlineLevel="0" collapsed="false">
      <c r="A13" s="8" t="s">
        <v>192</v>
      </c>
      <c r="B13" s="6"/>
      <c r="C13" s="7"/>
      <c r="D13" s="7"/>
      <c r="E13" s="6"/>
    </row>
    <row r="14" customFormat="false" ht="15" hidden="false" customHeight="false" outlineLevel="0" collapsed="false">
      <c r="A14" s="8" t="s">
        <v>193</v>
      </c>
      <c r="B14" s="6"/>
      <c r="C14" s="7"/>
      <c r="D14" s="7"/>
      <c r="E14" s="6"/>
    </row>
    <row r="15" customFormat="false" ht="15" hidden="false" customHeight="false" outlineLevel="0" collapsed="false">
      <c r="A15" s="8" t="s">
        <v>194</v>
      </c>
      <c r="B15" s="6"/>
      <c r="C15" s="7"/>
      <c r="D15" s="7"/>
      <c r="E15" s="6"/>
    </row>
    <row r="16" customFormat="false" ht="15" hidden="false" customHeight="false" outlineLevel="0" collapsed="false">
      <c r="A16" s="8" t="s">
        <v>195</v>
      </c>
      <c r="B16" s="6"/>
      <c r="C16" s="7"/>
      <c r="D16" s="7"/>
      <c r="E16" s="6"/>
    </row>
    <row r="17" customFormat="false" ht="15" hidden="false" customHeight="false" outlineLevel="0" collapsed="false">
      <c r="A17" s="8" t="s">
        <v>196</v>
      </c>
      <c r="B17" s="6"/>
      <c r="C17" s="7"/>
      <c r="D17" s="7"/>
      <c r="E17" s="6"/>
    </row>
    <row r="18" customFormat="false" ht="15" hidden="false" customHeight="false" outlineLevel="0" collapsed="false">
      <c r="A18" s="8" t="s">
        <v>197</v>
      </c>
      <c r="B18" s="6"/>
      <c r="C18" s="7"/>
      <c r="D18" s="7"/>
      <c r="E18" s="6"/>
    </row>
    <row r="19" customFormat="false" ht="15" hidden="false" customHeight="false" outlineLevel="0" collapsed="false">
      <c r="A19" s="8" t="s">
        <v>197</v>
      </c>
      <c r="B19" s="6"/>
      <c r="C19" s="7"/>
      <c r="D19" s="7"/>
      <c r="E19" s="6"/>
    </row>
    <row r="22" customFormat="false" ht="15" hidden="false" customHeight="false" outlineLevel="0" collapsed="false">
      <c r="A22" s="18" t="s">
        <v>198</v>
      </c>
    </row>
    <row r="23" customFormat="false" ht="15" hidden="false" customHeight="false" outlineLevel="0" collapsed="false">
      <c r="A23" s="19" t="s">
        <v>199</v>
      </c>
      <c r="B23" s="20"/>
    </row>
    <row r="24" customFormat="false" ht="15" hidden="false" customHeight="false" outlineLevel="0" collapsed="false">
      <c r="A24" s="19" t="s">
        <v>200</v>
      </c>
      <c r="B24" s="20"/>
    </row>
    <row r="25" customFormat="false" ht="15" hidden="false" customHeight="false" outlineLevel="0" collapsed="false">
      <c r="A25" s="19" t="s">
        <v>201</v>
      </c>
      <c r="B25" s="20"/>
    </row>
    <row r="26" customFormat="false" ht="15" hidden="false" customHeight="false" outlineLevel="0" collapsed="false">
      <c r="A26" s="19" t="s">
        <v>202</v>
      </c>
      <c r="B26" s="20"/>
    </row>
    <row r="27" customFormat="false" ht="15" hidden="false" customHeight="false" outlineLevel="0" collapsed="false">
      <c r="A27" s="19" t="s">
        <v>203</v>
      </c>
      <c r="B27" s="20"/>
    </row>
    <row r="28" customFormat="false" ht="15" hidden="false" customHeight="false" outlineLevel="0" collapsed="false">
      <c r="A28" s="19" t="s">
        <v>204</v>
      </c>
      <c r="B28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2026-07-31T14:31:19Z</dcterms:created>
  <dc:creator>openpyxl</dc:creator>
  <dc:description/>
  <dc:language>en-US</dc:language>
  <cp:lastModifiedBy/>
  <dcterms:modified xsi:type="dcterms:W3CDTF">2026-07-31T14:31:19Z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